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lyas\OneDrive\Documents\Project R\Mulung7\"/>
    </mc:Choice>
  </mc:AlternateContent>
  <xr:revisionPtr revIDLastSave="0" documentId="13_ncr:1_{28B45948-A075-44D3-A12A-281EA8FB3BAB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Ships" sheetId="3" r:id="rId1"/>
    <sheet name="Capacity" sheetId="1" r:id="rId2"/>
    <sheet name="Distances" sheetId="2" r:id="rId3"/>
    <sheet name="Port cost" sheetId="6" r:id="rId4"/>
    <sheet name="Operation Cost" sheetId="8" r:id="rId5"/>
    <sheet name="Supply,demand" sheetId="9" r:id="rId6"/>
  </sheets>
  <definedNames>
    <definedName name="solver_eng" localSheetId="2" hidden="1">3</definedName>
    <definedName name="solver_neg" localSheetId="2" hidden="1">1</definedName>
    <definedName name="solver_num" localSheetId="2" hidden="1">0</definedName>
    <definedName name="solver_opt" localSheetId="2" hidden="1">Distances!$K$43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</workbook>
</file>

<file path=xl/calcChain.xml><?xml version="1.0" encoding="utf-8"?>
<calcChain xmlns="http://schemas.openxmlformats.org/spreadsheetml/2006/main">
  <c r="E20" i="8" l="1"/>
  <c r="F20" i="8"/>
  <c r="G14" i="6"/>
  <c r="G13" i="6"/>
  <c r="E8" i="8"/>
  <c r="E7" i="8"/>
  <c r="N10" i="9"/>
  <c r="N11" i="9"/>
  <c r="N13" i="9"/>
  <c r="N14" i="9"/>
  <c r="N15" i="9"/>
  <c r="N17" i="9"/>
  <c r="N18" i="9"/>
  <c r="N19" i="9"/>
  <c r="N21" i="9"/>
  <c r="N22" i="9"/>
  <c r="N23" i="9"/>
  <c r="N25" i="9"/>
  <c r="N26" i="9"/>
  <c r="N27" i="9"/>
  <c r="N29" i="9"/>
  <c r="N30" i="9"/>
  <c r="N31" i="9"/>
  <c r="N33" i="9"/>
  <c r="N34" i="9"/>
  <c r="N35" i="9"/>
  <c r="N37" i="9"/>
  <c r="N38" i="9"/>
  <c r="N39" i="9"/>
  <c r="N41" i="9"/>
  <c r="N42" i="9"/>
  <c r="N43" i="9"/>
  <c r="N45" i="9"/>
  <c r="N46" i="9"/>
  <c r="N47" i="9"/>
  <c r="N49" i="9"/>
  <c r="N50" i="9"/>
  <c r="N51" i="9"/>
  <c r="N53" i="9"/>
  <c r="N54" i="9"/>
  <c r="N55" i="9"/>
  <c r="N57" i="9"/>
  <c r="N58" i="9"/>
  <c r="N59" i="9"/>
  <c r="N61" i="9"/>
  <c r="N62" i="9"/>
  <c r="N63" i="9"/>
  <c r="N65" i="9"/>
  <c r="N66" i="9"/>
  <c r="N67" i="9"/>
  <c r="N69" i="9"/>
  <c r="N70" i="9"/>
  <c r="N71" i="9"/>
  <c r="N73" i="9"/>
  <c r="N74" i="9"/>
  <c r="N75" i="9"/>
  <c r="N77" i="9"/>
  <c r="N78" i="9"/>
  <c r="N79" i="9"/>
  <c r="N81" i="9"/>
  <c r="N82" i="9"/>
  <c r="N83" i="9"/>
  <c r="N9" i="9"/>
  <c r="M10" i="9"/>
  <c r="M11" i="9"/>
  <c r="M13" i="9"/>
  <c r="M14" i="9"/>
  <c r="M15" i="9"/>
  <c r="M17" i="9"/>
  <c r="M18" i="9"/>
  <c r="M19" i="9"/>
  <c r="M21" i="9"/>
  <c r="M22" i="9"/>
  <c r="M23" i="9"/>
  <c r="M25" i="9"/>
  <c r="M26" i="9"/>
  <c r="M27" i="9"/>
  <c r="M29" i="9"/>
  <c r="M30" i="9"/>
  <c r="M31" i="9"/>
  <c r="M33" i="9"/>
  <c r="M34" i="9"/>
  <c r="M35" i="9"/>
  <c r="M37" i="9"/>
  <c r="M38" i="9"/>
  <c r="M39" i="9"/>
  <c r="M41" i="9"/>
  <c r="M42" i="9"/>
  <c r="M43" i="9"/>
  <c r="M45" i="9"/>
  <c r="M46" i="9"/>
  <c r="M47" i="9"/>
  <c r="M49" i="9"/>
  <c r="M50" i="9"/>
  <c r="M51" i="9"/>
  <c r="M53" i="9"/>
  <c r="M54" i="9"/>
  <c r="M55" i="9"/>
  <c r="M57" i="9"/>
  <c r="M58" i="9"/>
  <c r="M59" i="9"/>
  <c r="M61" i="9"/>
  <c r="M62" i="9"/>
  <c r="M63" i="9"/>
  <c r="M65" i="9"/>
  <c r="M66" i="9"/>
  <c r="M67" i="9"/>
  <c r="M69" i="9"/>
  <c r="M70" i="9"/>
  <c r="M71" i="9"/>
  <c r="M73" i="9"/>
  <c r="M74" i="9"/>
  <c r="M75" i="9"/>
  <c r="M77" i="9"/>
  <c r="M78" i="9"/>
  <c r="M79" i="9"/>
  <c r="M81" i="9"/>
  <c r="M82" i="9"/>
  <c r="M83" i="9"/>
  <c r="L10" i="9"/>
  <c r="L11" i="9"/>
  <c r="L13" i="9"/>
  <c r="L14" i="9"/>
  <c r="L15" i="9"/>
  <c r="L17" i="9"/>
  <c r="L18" i="9"/>
  <c r="L19" i="9"/>
  <c r="L21" i="9"/>
  <c r="L22" i="9"/>
  <c r="L23" i="9"/>
  <c r="L25" i="9"/>
  <c r="L26" i="9"/>
  <c r="L27" i="9"/>
  <c r="L29" i="9"/>
  <c r="L30" i="9"/>
  <c r="L31" i="9"/>
  <c r="L33" i="9"/>
  <c r="L34" i="9"/>
  <c r="L35" i="9"/>
  <c r="L37" i="9"/>
  <c r="L38" i="9"/>
  <c r="L39" i="9"/>
  <c r="L41" i="9"/>
  <c r="L42" i="9"/>
  <c r="L43" i="9"/>
  <c r="L45" i="9"/>
  <c r="L46" i="9"/>
  <c r="L47" i="9"/>
  <c r="L49" i="9"/>
  <c r="L50" i="9"/>
  <c r="L51" i="9"/>
  <c r="L53" i="9"/>
  <c r="L54" i="9"/>
  <c r="L55" i="9"/>
  <c r="L57" i="9"/>
  <c r="L58" i="9"/>
  <c r="L59" i="9"/>
  <c r="L61" i="9"/>
  <c r="L62" i="9"/>
  <c r="L63" i="9"/>
  <c r="L65" i="9"/>
  <c r="L66" i="9"/>
  <c r="L67" i="9"/>
  <c r="L69" i="9"/>
  <c r="L70" i="9"/>
  <c r="L71" i="9"/>
  <c r="L73" i="9"/>
  <c r="L74" i="9"/>
  <c r="L75" i="9"/>
  <c r="L77" i="9"/>
  <c r="L78" i="9"/>
  <c r="L79" i="9"/>
  <c r="L81" i="9"/>
  <c r="L82" i="9"/>
  <c r="L83" i="9"/>
  <c r="L9" i="9"/>
  <c r="M9" i="9"/>
  <c r="M13" i="1"/>
  <c r="N13" i="1"/>
  <c r="F14" i="6"/>
  <c r="F13" i="6"/>
  <c r="E22" i="6"/>
  <c r="E21" i="6"/>
  <c r="D14" i="6"/>
  <c r="D13" i="6"/>
  <c r="G10" i="6"/>
  <c r="F10" i="6"/>
  <c r="E10" i="6"/>
  <c r="D10" i="6"/>
  <c r="G9" i="6"/>
  <c r="F9" i="6"/>
  <c r="E9" i="6"/>
  <c r="D9" i="6"/>
  <c r="G8" i="6"/>
  <c r="F8" i="6"/>
  <c r="E8" i="6"/>
  <c r="D8" i="6"/>
  <c r="G7" i="6"/>
  <c r="F7" i="6"/>
  <c r="E7" i="6"/>
  <c r="D7" i="6"/>
  <c r="G6" i="6"/>
  <c r="F6" i="6"/>
  <c r="E6" i="6"/>
  <c r="D6" i="6"/>
  <c r="G5" i="6"/>
  <c r="F5" i="6"/>
  <c r="E5" i="6"/>
  <c r="D5" i="6"/>
  <c r="V26" i="1"/>
  <c r="O26" i="1"/>
  <c r="N26" i="1"/>
  <c r="R26" i="1" s="1"/>
  <c r="U26" i="1" s="1"/>
  <c r="M26" i="1"/>
  <c r="Q26" i="1" s="1"/>
  <c r="O25" i="1"/>
  <c r="S25" i="1" s="1"/>
  <c r="V25" i="1" s="1"/>
  <c r="N25" i="1"/>
  <c r="R25" i="1" s="1"/>
  <c r="U25" i="1" s="1"/>
  <c r="M25" i="1"/>
  <c r="Q25" i="1" s="1"/>
  <c r="X24" i="1"/>
  <c r="Z24" i="1" s="1"/>
  <c r="V24" i="1"/>
  <c r="U24" i="1"/>
  <c r="T24" i="1"/>
  <c r="M23" i="1"/>
  <c r="Q23" i="1" s="1"/>
  <c r="M22" i="1"/>
  <c r="Q22" i="1" s="1"/>
  <c r="M21" i="1"/>
  <c r="N21" i="1" s="1"/>
  <c r="M20" i="1"/>
  <c r="N20" i="1" s="1"/>
  <c r="X19" i="1"/>
  <c r="Z19" i="1" s="1"/>
  <c r="X18" i="1"/>
  <c r="Z18" i="1" s="1"/>
  <c r="O17" i="1"/>
  <c r="S17" i="1" s="1"/>
  <c r="V17" i="1" s="1"/>
  <c r="N17" i="1"/>
  <c r="R17" i="1" s="1"/>
  <c r="U17" i="1" s="1"/>
  <c r="M17" i="1"/>
  <c r="Q17" i="1" s="1"/>
  <c r="T17" i="1" s="1"/>
  <c r="O16" i="1"/>
  <c r="S16" i="1" s="1"/>
  <c r="V16" i="1" s="1"/>
  <c r="N16" i="1"/>
  <c r="R16" i="1" s="1"/>
  <c r="U16" i="1" s="1"/>
  <c r="M16" i="1"/>
  <c r="Q16" i="1" s="1"/>
  <c r="Q15" i="1"/>
  <c r="T15" i="1" s="1"/>
  <c r="N15" i="1"/>
  <c r="O15" i="1" s="1"/>
  <c r="S15" i="1" s="1"/>
  <c r="Q14" i="1"/>
  <c r="O14" i="1"/>
  <c r="S14" i="1" s="1"/>
  <c r="V14" i="1" s="1"/>
  <c r="N14" i="1"/>
  <c r="R14" i="1" s="1"/>
  <c r="U14" i="1" s="1"/>
  <c r="M14" i="1"/>
  <c r="R13" i="1"/>
  <c r="U13" i="1" s="1"/>
  <c r="Q13" i="1"/>
  <c r="T13" i="1" s="1"/>
  <c r="S12" i="1"/>
  <c r="V12" i="1" s="1"/>
  <c r="R12" i="1"/>
  <c r="U12" i="1" s="1"/>
  <c r="Q12" i="1"/>
  <c r="T12" i="1" s="1"/>
  <c r="O11" i="1"/>
  <c r="N11" i="1"/>
  <c r="R11" i="1" s="1"/>
  <c r="M11" i="1"/>
  <c r="Q11" i="1" s="1"/>
  <c r="V10" i="1"/>
  <c r="R10" i="1"/>
  <c r="U10" i="1" s="1"/>
  <c r="Q10" i="1"/>
  <c r="T10" i="1" s="1"/>
  <c r="G10" i="1"/>
  <c r="F10" i="1"/>
  <c r="E10" i="1"/>
  <c r="O9" i="1"/>
  <c r="S9" i="1" s="1"/>
  <c r="V9" i="1" s="1"/>
  <c r="N9" i="1"/>
  <c r="R9" i="1" s="1"/>
  <c r="U9" i="1" s="1"/>
  <c r="M9" i="1"/>
  <c r="Q9" i="1" s="1"/>
  <c r="T9" i="1" s="1"/>
  <c r="G9" i="1"/>
  <c r="F9" i="1"/>
  <c r="E9" i="1"/>
  <c r="O8" i="1"/>
  <c r="S8" i="1" s="1"/>
  <c r="V8" i="1" s="1"/>
  <c r="N8" i="1"/>
  <c r="R8" i="1" s="1"/>
  <c r="M8" i="1"/>
  <c r="Q8" i="1" s="1"/>
  <c r="T8" i="1" s="1"/>
  <c r="J5" i="3"/>
  <c r="X14" i="1" l="1"/>
  <c r="Z14" i="1" s="1"/>
  <c r="X16" i="1"/>
  <c r="Z16" i="1" s="1"/>
  <c r="T16" i="1"/>
  <c r="T11" i="1"/>
  <c r="X11" i="1"/>
  <c r="Z11" i="1" s="1"/>
  <c r="N23" i="1"/>
  <c r="R23" i="1" s="1"/>
  <c r="U23" i="1" s="1"/>
  <c r="T14" i="1"/>
  <c r="R15" i="1"/>
  <c r="U15" i="1" s="1"/>
  <c r="Q21" i="1"/>
  <c r="T21" i="1" s="1"/>
  <c r="Q20" i="1"/>
  <c r="T20" i="1" s="1"/>
  <c r="T23" i="1"/>
  <c r="O21" i="1"/>
  <c r="S21" i="1" s="1"/>
  <c r="V21" i="1" s="1"/>
  <c r="R21" i="1"/>
  <c r="U21" i="1" s="1"/>
  <c r="R20" i="1"/>
  <c r="U20" i="1" s="1"/>
  <c r="O20" i="1"/>
  <c r="S20" i="1" s="1"/>
  <c r="V20" i="1" s="1"/>
  <c r="X25" i="1"/>
  <c r="Z25" i="1" s="1"/>
  <c r="T25" i="1"/>
  <c r="T26" i="1"/>
  <c r="X26" i="1"/>
  <c r="Z26" i="1" s="1"/>
  <c r="U8" i="1"/>
  <c r="X8" i="1"/>
  <c r="T22" i="1"/>
  <c r="X10" i="1"/>
  <c r="Z10" i="1" s="1"/>
  <c r="X13" i="1"/>
  <c r="Z13" i="1" s="1"/>
  <c r="N22" i="1"/>
  <c r="X9" i="1"/>
  <c r="Z9" i="1" s="1"/>
  <c r="X17" i="1"/>
  <c r="Z17" i="1" s="1"/>
  <c r="X12" i="1"/>
  <c r="Z12" i="1" s="1"/>
  <c r="O23" i="1"/>
  <c r="S23" i="1" s="1"/>
  <c r="V23" i="1" s="1"/>
  <c r="X15" i="1" l="1"/>
  <c r="Z15" i="1" s="1"/>
  <c r="X20" i="1"/>
  <c r="Z20" i="1" s="1"/>
  <c r="Z8" i="1"/>
  <c r="R22" i="1"/>
  <c r="O22" i="1"/>
  <c r="S22" i="1" s="1"/>
  <c r="V22" i="1" s="1"/>
  <c r="X21" i="1"/>
  <c r="Z21" i="1" s="1"/>
  <c r="X23" i="1"/>
  <c r="Z23" i="1" s="1"/>
  <c r="U22" i="1" l="1"/>
  <c r="X22" i="1"/>
  <c r="Z22" i="1" l="1"/>
</calcChain>
</file>

<file path=xl/sharedStrings.xml><?xml version="1.0" encoding="utf-8"?>
<sst xmlns="http://schemas.openxmlformats.org/spreadsheetml/2006/main" count="363" uniqueCount="123">
  <si>
    <t>DATA Oil Tunker</t>
  </si>
  <si>
    <t>HFO</t>
  </si>
  <si>
    <t>Compartment Capacity</t>
  </si>
  <si>
    <t>(Day/KL)</t>
  </si>
  <si>
    <t>No</t>
  </si>
  <si>
    <t>Type</t>
  </si>
  <si>
    <t>DWT</t>
  </si>
  <si>
    <t>Gasoline</t>
  </si>
  <si>
    <t>Diesel</t>
  </si>
  <si>
    <t>Kerosene</t>
  </si>
  <si>
    <t xml:space="preserve"> Supply port</t>
  </si>
  <si>
    <t>Loading Rate</t>
  </si>
  <si>
    <t>GP</t>
  </si>
  <si>
    <t>CLC</t>
  </si>
  <si>
    <t>PLJ</t>
  </si>
  <si>
    <t>BLG</t>
  </si>
  <si>
    <t>DUM</t>
  </si>
  <si>
    <t>KSM</t>
  </si>
  <si>
    <t xml:space="preserve"> GP</t>
  </si>
  <si>
    <t xml:space="preserve"> MR</t>
  </si>
  <si>
    <t>($)</t>
  </si>
  <si>
    <t>Port Cost</t>
  </si>
  <si>
    <t>$0,0064590/GT/hours</t>
  </si>
  <si>
    <t>MR</t>
  </si>
  <si>
    <t>$0,155016/GT/Day</t>
  </si>
  <si>
    <t>1 GT                                =</t>
  </si>
  <si>
    <t>1 DWT</t>
  </si>
  <si>
    <t>Total</t>
  </si>
  <si>
    <t>KL</t>
  </si>
  <si>
    <t>Sources</t>
  </si>
  <si>
    <t>Destination</t>
  </si>
  <si>
    <t>CODE</t>
  </si>
  <si>
    <t>Capacity</t>
  </si>
  <si>
    <t>Products ( KL)</t>
  </si>
  <si>
    <t>Draft</t>
  </si>
  <si>
    <t>Draft ( M)</t>
  </si>
  <si>
    <t>Demand/Day</t>
  </si>
  <si>
    <t>Pinalty cost/KL</t>
  </si>
  <si>
    <t>Barel/days</t>
  </si>
  <si>
    <t>Code</t>
  </si>
  <si>
    <t>Capacity (KL)</t>
  </si>
  <si>
    <t>BLW</t>
  </si>
  <si>
    <t>TUB</t>
  </si>
  <si>
    <t>TGE</t>
  </si>
  <si>
    <t>SBY</t>
  </si>
  <si>
    <t>BLP</t>
  </si>
  <si>
    <t>TBN</t>
  </si>
  <si>
    <t>BAL</t>
  </si>
  <si>
    <t>SMG</t>
  </si>
  <si>
    <t>PSB</t>
  </si>
  <si>
    <t>PJG</t>
  </si>
  <si>
    <t>TKA</t>
  </si>
  <si>
    <t>TPR</t>
  </si>
  <si>
    <t>MGS</t>
  </si>
  <si>
    <t>TWA</t>
  </si>
  <si>
    <t>WAY</t>
  </si>
  <si>
    <t>BBA</t>
  </si>
  <si>
    <t>KOB</t>
  </si>
  <si>
    <t>MKS</t>
  </si>
  <si>
    <t>KUP</t>
  </si>
  <si>
    <t>PLP</t>
  </si>
  <si>
    <t>BIT</t>
  </si>
  <si>
    <t>Nautical Distances Between Port</t>
  </si>
  <si>
    <t>TTM</t>
  </si>
  <si>
    <t xml:space="preserve"> </t>
  </si>
  <si>
    <t>KOP</t>
  </si>
  <si>
    <t>DAYS AT SEA</t>
  </si>
  <si>
    <t>0.9</t>
  </si>
  <si>
    <t>0.1</t>
  </si>
  <si>
    <t>Loading</t>
  </si>
  <si>
    <t>Loading Time(GT/day)</t>
  </si>
  <si>
    <t>unloading rate</t>
  </si>
  <si>
    <t>Unloding Time( GT/day)</t>
  </si>
  <si>
    <t>Port Cost ($)</t>
  </si>
  <si>
    <t>DWAT</t>
  </si>
  <si>
    <t>GT</t>
  </si>
  <si>
    <t>7-8.50</t>
  </si>
  <si>
    <t>9-12.5</t>
  </si>
  <si>
    <t>21.2</t>
  </si>
  <si>
    <t>Total Safti Stok</t>
  </si>
  <si>
    <t>Safety stock(st)</t>
  </si>
  <si>
    <t>St ( 5 hari)</t>
  </si>
  <si>
    <t>Ada 2 Type kapal yg digunakan ( asumsi kapal tidak terbatas)</t>
  </si>
  <si>
    <t>Draf</t>
  </si>
  <si>
    <t xml:space="preserve"> (Ton/days)</t>
  </si>
  <si>
    <t>Operation cost :</t>
  </si>
  <si>
    <t>Day at Sea X Jumlah HFO/hari x Harga HFO/ton</t>
  </si>
  <si>
    <t xml:space="preserve">Kapal </t>
  </si>
  <si>
    <t>1 ton HFO = 1042 liter</t>
  </si>
  <si>
    <t>Harga HFO/liter</t>
  </si>
  <si>
    <t>HFP/ton/hari</t>
  </si>
  <si>
    <t>Contoh</t>
  </si>
  <si>
    <t xml:space="preserve">Kapal GP belayar dari DUM-TUB-PSP-DUM </t>
  </si>
  <si>
    <t>DUM-TUB</t>
  </si>
  <si>
    <t>TUB-PSP</t>
  </si>
  <si>
    <t>PSP-TUB</t>
  </si>
  <si>
    <t>Days</t>
  </si>
  <si>
    <t>0.5</t>
  </si>
  <si>
    <t>1.5 Hari</t>
  </si>
  <si>
    <t>Biaya Operasi= 1.5 x 12 Tonx 1045x 0.54</t>
  </si>
  <si>
    <t>US$ 10128</t>
  </si>
  <si>
    <t>SUPPLY POINT</t>
  </si>
  <si>
    <t>Premium</t>
  </si>
  <si>
    <t>Stock Max</t>
  </si>
  <si>
    <t>Port, Product</t>
  </si>
  <si>
    <t xml:space="preserve">Initial Inventory </t>
  </si>
  <si>
    <t xml:space="preserve">Demand </t>
  </si>
  <si>
    <t>Per day</t>
  </si>
  <si>
    <t>Pinalty</t>
  </si>
  <si>
    <t>DEMAND PORT</t>
  </si>
  <si>
    <t>PSP</t>
  </si>
  <si>
    <t>Safty Stock</t>
  </si>
  <si>
    <t>Cost</t>
  </si>
  <si>
    <t>Max Inventory</t>
  </si>
  <si>
    <t>Jadi Port Cost</t>
  </si>
  <si>
    <t>Jumlah Produk yang dikirim kapal x 0,009</t>
  </si>
  <si>
    <t>Jumlah Produk yang dikirim kapal x 0,0135</t>
  </si>
  <si>
    <t>Alarm level</t>
  </si>
  <si>
    <t>Safety</t>
  </si>
  <si>
    <t>Stock</t>
  </si>
  <si>
    <t>0.50</t>
  </si>
  <si>
    <t xml:space="preserve">0.50 </t>
  </si>
  <si>
    <t>Cost/Kl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</si>
</sst>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Arial Narrow"/>
      <family val="2"/>
    </font>
    <font>
      <sz val="12"/>
      <color rgb="FF0D0D0D"/>
      <name val="Segoe UI"/>
      <family val="2"/>
    </font>
    <font>
      <sz val="8"/>
      <name val="Calibri"/>
      <family val="2"/>
      <scheme val="minor"/>
    </font>
    <font>
      <sz val="26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9" xfId="0" applyBorder="1"/>
    <xf numFmtId="0" fontId="0" fillId="0" borderId="12" xfId="0" applyBorder="1"/>
    <xf numFmtId="0" fontId="0" fillId="0" borderId="14" xfId="0" applyBorder="1"/>
    <xf numFmtId="0" fontId="0" fillId="2" borderId="0" xfId="0" applyFill="1"/>
    <xf numFmtId="0" fontId="0" fillId="0" borderId="0" xfId="0" applyAlignment="1">
      <alignment horizontal="center"/>
    </xf>
    <xf numFmtId="0" fontId="6" fillId="0" borderId="15" xfId="0" applyFont="1" applyBorder="1" applyAlignment="1">
      <alignment horizontal="center"/>
    </xf>
    <xf numFmtId="0" fontId="8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2" borderId="9" xfId="0" applyFont="1" applyFill="1" applyBorder="1" applyAlignment="1">
      <alignment vertical="center" wrapText="1"/>
    </xf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8" fillId="2" borderId="13" xfId="0" applyFont="1" applyFill="1" applyBorder="1" applyAlignment="1">
      <alignment vertical="center" wrapText="1"/>
    </xf>
    <xf numFmtId="0" fontId="0" fillId="2" borderId="3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5" borderId="3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5" borderId="2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3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 applyAlignment="1">
      <alignment horizontal="right"/>
    </xf>
    <xf numFmtId="0" fontId="0" fillId="11" borderId="5" xfId="0" applyFill="1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11" borderId="7" xfId="0" applyFill="1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left"/>
    </xf>
    <xf numFmtId="0" fontId="9" fillId="0" borderId="0" xfId="0" applyFont="1"/>
    <xf numFmtId="0" fontId="0" fillId="0" borderId="2" xfId="0" applyBorder="1" applyAlignment="1">
      <alignment horizontal="center"/>
    </xf>
    <xf numFmtId="0" fontId="0" fillId="0" borderId="23" xfId="0" applyBorder="1" applyAlignment="1">
      <alignment horizontal="center"/>
    </xf>
    <xf numFmtId="0" fontId="10" fillId="0" borderId="13" xfId="0" applyFont="1" applyBorder="1" applyAlignment="1">
      <alignment vertical="center" wrapText="1"/>
    </xf>
    <xf numFmtId="3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10" fillId="0" borderId="12" xfId="0" applyFont="1" applyBorder="1" applyAlignment="1">
      <alignment vertical="center" wrapText="1"/>
    </xf>
    <xf numFmtId="3" fontId="0" fillId="0" borderId="5" xfId="0" applyNumberFormat="1" applyBorder="1" applyAlignment="1">
      <alignment horizontal="center"/>
    </xf>
    <xf numFmtId="3" fontId="0" fillId="0" borderId="0" xfId="0" applyNumberFormat="1"/>
    <xf numFmtId="0" fontId="9" fillId="0" borderId="0" xfId="0" applyFont="1" applyAlignment="1">
      <alignment horizontal="left"/>
    </xf>
    <xf numFmtId="0" fontId="0" fillId="0" borderId="24" xfId="0" applyBorder="1" applyAlignment="1">
      <alignment horizontal="center"/>
    </xf>
    <xf numFmtId="3" fontId="0" fillId="0" borderId="1" xfId="0" applyNumberFormat="1" applyBorder="1"/>
    <xf numFmtId="3" fontId="0" fillId="0" borderId="3" xfId="0" applyNumberFormat="1" applyBorder="1"/>
    <xf numFmtId="0" fontId="0" fillId="0" borderId="14" xfId="0" applyBorder="1" applyAlignment="1">
      <alignment horizontal="center"/>
    </xf>
    <xf numFmtId="1" fontId="0" fillId="0" borderId="9" xfId="0" applyNumberFormat="1" applyBorder="1"/>
    <xf numFmtId="1" fontId="0" fillId="0" borderId="0" xfId="0" applyNumberFormat="1"/>
    <xf numFmtId="1" fontId="0" fillId="0" borderId="13" xfId="0" applyNumberFormat="1" applyBorder="1"/>
    <xf numFmtId="3" fontId="0" fillId="0" borderId="13" xfId="0" applyNumberFormat="1" applyBorder="1"/>
    <xf numFmtId="9" fontId="0" fillId="0" borderId="0" xfId="0" applyNumberFormat="1"/>
    <xf numFmtId="0" fontId="11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0" fillId="3" borderId="0" xfId="0" applyFill="1"/>
    <xf numFmtId="0" fontId="5" fillId="0" borderId="1" xfId="0" applyFont="1" applyBorder="1"/>
    <xf numFmtId="0" fontId="5" fillId="0" borderId="6" xfId="0" applyFont="1" applyBorder="1"/>
    <xf numFmtId="0" fontId="0" fillId="0" borderId="10" xfId="0" applyBorder="1"/>
    <xf numFmtId="0" fontId="5" fillId="0" borderId="15" xfId="0" applyFont="1" applyBorder="1"/>
    <xf numFmtId="0" fontId="5" fillId="0" borderId="14" xfId="0" applyFont="1" applyBorder="1" applyAlignment="1">
      <alignment horizontal="center"/>
    </xf>
    <xf numFmtId="0" fontId="5" fillId="0" borderId="14" xfId="0" applyFont="1" applyBorder="1"/>
    <xf numFmtId="0" fontId="0" fillId="0" borderId="0" xfId="0" applyAlignment="1">
      <alignment vertical="center"/>
    </xf>
    <xf numFmtId="0" fontId="5" fillId="0" borderId="9" xfId="0" applyFont="1" applyBorder="1"/>
    <xf numFmtId="0" fontId="0" fillId="0" borderId="25" xfId="0" applyBorder="1"/>
    <xf numFmtId="0" fontId="0" fillId="0" borderId="16" xfId="0" applyBorder="1"/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/>
    <xf numFmtId="0" fontId="0" fillId="0" borderId="19" xfId="0" applyBorder="1"/>
    <xf numFmtId="0" fontId="5" fillId="0" borderId="20" xfId="0" applyFont="1" applyBorder="1" applyAlignment="1">
      <alignment vertical="center"/>
    </xf>
    <xf numFmtId="0" fontId="0" fillId="0" borderId="20" xfId="0" applyBorder="1" applyAlignment="1">
      <alignment horizontal="center"/>
    </xf>
    <xf numFmtId="16" fontId="5" fillId="0" borderId="20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2" xfId="0" applyBorder="1"/>
    <xf numFmtId="16" fontId="5" fillId="0" borderId="0" xfId="0" applyNumberFormat="1" applyFont="1" applyAlignment="1">
      <alignment horizontal="right"/>
    </xf>
    <xf numFmtId="0" fontId="0" fillId="2" borderId="1" xfId="0" applyFill="1" applyBorder="1" applyAlignment="1">
      <alignment horizontal="left"/>
    </xf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Alignment="1">
      <alignment horizontal="left"/>
    </xf>
    <xf numFmtId="0" fontId="0" fillId="5" borderId="0" xfId="0" applyFill="1"/>
    <xf numFmtId="0" fontId="5" fillId="5" borderId="0" xfId="0" applyFont="1" applyFill="1"/>
    <xf numFmtId="0" fontId="4" fillId="0" borderId="0" xfId="0" applyFont="1"/>
    <xf numFmtId="0" fontId="4" fillId="0" borderId="5" xfId="0" applyFont="1" applyBorder="1"/>
    <xf numFmtId="0" fontId="0" fillId="13" borderId="2" xfId="0" applyFill="1" applyBorder="1"/>
    <xf numFmtId="0" fontId="4" fillId="13" borderId="5" xfId="0" applyFont="1" applyFill="1" applyBorder="1"/>
    <xf numFmtId="0" fontId="0" fillId="13" borderId="5" xfId="0" applyFill="1" applyBorder="1"/>
    <xf numFmtId="0" fontId="4" fillId="13" borderId="9" xfId="0" applyFont="1" applyFill="1" applyBorder="1" applyAlignment="1">
      <alignment wrapText="1"/>
    </xf>
    <xf numFmtId="0" fontId="0" fillId="13" borderId="12" xfId="0" applyFill="1" applyBorder="1"/>
    <xf numFmtId="0" fontId="0" fillId="13" borderId="9" xfId="0" applyFill="1" applyBorder="1"/>
    <xf numFmtId="0" fontId="4" fillId="13" borderId="12" xfId="0" applyFont="1" applyFill="1" applyBorder="1"/>
    <xf numFmtId="0" fontId="4" fillId="13" borderId="9" xfId="0" applyFont="1" applyFill="1" applyBorder="1"/>
    <xf numFmtId="0" fontId="0" fillId="14" borderId="9" xfId="0" applyFill="1" applyBorder="1"/>
    <xf numFmtId="0" fontId="0" fillId="2" borderId="13" xfId="0" applyFill="1" applyBorder="1"/>
    <xf numFmtId="0" fontId="0" fillId="2" borderId="0" xfId="0" applyFill="1" applyAlignment="1">
      <alignment horizontal="center"/>
    </xf>
    <xf numFmtId="0" fontId="4" fillId="2" borderId="13" xfId="0" applyFont="1" applyFill="1" applyBorder="1" applyAlignment="1">
      <alignment wrapText="1"/>
    </xf>
    <xf numFmtId="0" fontId="0" fillId="14" borderId="0" xfId="0" applyFill="1"/>
    <xf numFmtId="0" fontId="4" fillId="0" borderId="9" xfId="0" applyFont="1" applyBorder="1"/>
    <xf numFmtId="0" fontId="4" fillId="0" borderId="13" xfId="0" applyFont="1" applyBorder="1"/>
    <xf numFmtId="0" fontId="0" fillId="14" borderId="13" xfId="0" applyFill="1" applyBorder="1"/>
    <xf numFmtId="0" fontId="4" fillId="0" borderId="12" xfId="0" applyFont="1" applyBorder="1"/>
    <xf numFmtId="0" fontId="0" fillId="14" borderId="14" xfId="0" applyFill="1" applyBorder="1"/>
    <xf numFmtId="0" fontId="0" fillId="14" borderId="13" xfId="0" applyFill="1" applyBorder="1" applyAlignment="1">
      <alignment horizontal="center"/>
    </xf>
    <xf numFmtId="0" fontId="0" fillId="14" borderId="15" xfId="0" applyFill="1" applyBorder="1"/>
    <xf numFmtId="0" fontId="0" fillId="2" borderId="2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0" fontId="4" fillId="14" borderId="9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4" fillId="14" borderId="5" xfId="0" applyFont="1" applyFill="1" applyBorder="1" applyAlignment="1">
      <alignment horizontal="center"/>
    </xf>
    <xf numFmtId="0" fontId="4" fillId="14" borderId="12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3" fillId="14" borderId="9" xfId="0" applyFont="1" applyFill="1" applyBorder="1" applyAlignment="1">
      <alignment horizontal="center"/>
    </xf>
    <xf numFmtId="0" fontId="3" fillId="13" borderId="5" xfId="0" applyFont="1" applyFill="1" applyBorder="1"/>
    <xf numFmtId="0" fontId="0" fillId="13" borderId="2" xfId="0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4" borderId="1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0" xfId="0" applyFont="1"/>
    <xf numFmtId="0" fontId="0" fillId="5" borderId="0" xfId="0" applyFill="1" applyAlignment="1">
      <alignment horizontal="left"/>
    </xf>
    <xf numFmtId="0" fontId="4" fillId="15" borderId="1" xfId="0" applyFont="1" applyFill="1" applyBorder="1"/>
    <xf numFmtId="0" fontId="0" fillId="15" borderId="2" xfId="0" applyFill="1" applyBorder="1"/>
    <xf numFmtId="0" fontId="0" fillId="15" borderId="4" xfId="0" applyFill="1" applyBorder="1"/>
    <xf numFmtId="0" fontId="4" fillId="15" borderId="5" xfId="0" applyFont="1" applyFill="1" applyBorder="1"/>
    <xf numFmtId="0" fontId="0" fillId="15" borderId="5" xfId="0" applyFill="1" applyBorder="1"/>
    <xf numFmtId="0" fontId="4" fillId="15" borderId="9" xfId="0" applyFont="1" applyFill="1" applyBorder="1"/>
    <xf numFmtId="0" fontId="4" fillId="15" borderId="12" xfId="0" applyFont="1" applyFill="1" applyBorder="1"/>
    <xf numFmtId="0" fontId="0" fillId="5" borderId="0" xfId="0" applyFill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1" fillId="15" borderId="2" xfId="0" applyFont="1" applyFill="1" applyBorder="1"/>
    <xf numFmtId="0" fontId="0" fillId="0" borderId="15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14" borderId="3" xfId="0" applyFont="1" applyFill="1" applyBorder="1" applyAlignment="1">
      <alignment horizontal="left"/>
    </xf>
    <xf numFmtId="0" fontId="4" fillId="14" borderId="7" xfId="0" applyFont="1" applyFill="1" applyBorder="1" applyAlignment="1">
      <alignment horizontal="left"/>
    </xf>
    <xf numFmtId="0" fontId="0" fillId="5" borderId="0" xfId="0" applyFill="1" applyAlignment="1">
      <alignment horizontal="center"/>
    </xf>
    <xf numFmtId="0" fontId="2" fillId="14" borderId="3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4" fillId="14" borderId="10" xfId="0" applyFont="1" applyFill="1" applyBorder="1" applyAlignment="1">
      <alignment horizontal="left"/>
    </xf>
    <xf numFmtId="0" fontId="4" fillId="14" borderId="15" xfId="0" applyFont="1" applyFill="1" applyBorder="1" applyAlignment="1">
      <alignment horizontal="left"/>
    </xf>
    <xf numFmtId="0" fontId="0" fillId="14" borderId="7" xfId="0" applyFill="1" applyBorder="1" applyAlignment="1">
      <alignment horizontal="left"/>
    </xf>
    <xf numFmtId="0" fontId="4" fillId="14" borderId="6" xfId="0" applyFont="1" applyFill="1" applyBorder="1" applyAlignment="1">
      <alignment horizontal="center" wrapText="1"/>
    </xf>
    <xf numFmtId="0" fontId="4" fillId="14" borderId="8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/>
    </xf>
    <xf numFmtId="0" fontId="4" fillId="14" borderId="9" xfId="0" applyFont="1" applyFill="1" applyBorder="1" applyAlignment="1">
      <alignment horizontal="center" vertical="center"/>
    </xf>
    <xf numFmtId="0" fontId="4" fillId="14" borderId="12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0" fontId="4" fillId="13" borderId="9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Unloading</a:t>
            </a:r>
            <a:r>
              <a:rPr lang="en-ID" baseline="0"/>
              <a:t> Cost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'Port cost'!$K$48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'Port cost'!$J$49:$J$67</c:f>
              <c:numCache>
                <c:formatCode>General</c:formatCode>
                <c:ptCount val="19"/>
              </c:numCache>
            </c:numRef>
          </c:cat>
          <c:val>
            <c:numRef>
              <c:f>'Port cost'!$K$49:$K$67</c:f>
              <c:numCache>
                <c:formatCode>General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67-4BAF-932E-07F5A13FF380}"/>
            </c:ext>
          </c:extLst>
        </c:ser>
        <c:ser>
          <c:idx val="1"/>
          <c:order val="1"/>
          <c:tx>
            <c:strRef>
              <c:f>'Port cost'!$L$48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'Port cost'!$J$49:$J$67</c:f>
              <c:numCache>
                <c:formatCode>General</c:formatCode>
                <c:ptCount val="19"/>
              </c:numCache>
            </c:numRef>
          </c:cat>
          <c:val>
            <c:numRef>
              <c:f>'Port cost'!$L$49:$L$67</c:f>
              <c:numCache>
                <c:formatCode>General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67-4BAF-932E-07F5A13FF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8361392"/>
        <c:axId val="1146755232"/>
      </c:lineChart>
      <c:catAx>
        <c:axId val="126836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755232"/>
        <c:crosses val="autoZero"/>
        <c:auto val="1"/>
        <c:lblAlgn val="ctr"/>
        <c:lblOffset val="100"/>
        <c:noMultiLvlLbl val="0"/>
      </c:catAx>
      <c:valAx>
        <c:axId val="11467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36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23812</xdr:colOff>
      <xdr:row>42</xdr:row>
      <xdr:rowOff>38100</xdr:rowOff>
    </xdr:from>
    <xdr:to>
      <xdr:col>24</xdr:col>
      <xdr:colOff>95250</xdr:colOff>
      <xdr:row>56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M38"/>
  <sheetViews>
    <sheetView workbookViewId="0">
      <selection activeCell="B5" sqref="B5:I6"/>
    </sheetView>
  </sheetViews>
  <sheetFormatPr defaultColWidth="9" defaultRowHeight="15"/>
  <cols>
    <col min="2" max="2" width="6.85546875" customWidth="1"/>
    <col min="3" max="3" width="7.7109375" customWidth="1"/>
    <col min="4" max="4" width="15.5703125" customWidth="1"/>
    <col min="6" max="6" width="15" customWidth="1"/>
    <col min="7" max="7" width="13.85546875" customWidth="1"/>
    <col min="8" max="8" width="15.5703125" customWidth="1"/>
    <col min="9" max="9" width="16" customWidth="1"/>
    <col min="10" max="10" width="10.7109375" customWidth="1"/>
    <col min="11" max="11" width="14.85546875" customWidth="1"/>
    <col min="12" max="12" width="21.85546875" customWidth="1"/>
    <col min="13" max="13" width="20.7109375" customWidth="1"/>
  </cols>
  <sheetData>
    <row r="1" spans="2:13">
      <c r="B1" t="s">
        <v>0</v>
      </c>
    </row>
    <row r="2" spans="2:13" ht="15.75" thickBot="1">
      <c r="B2" s="81" t="s">
        <v>82</v>
      </c>
    </row>
    <row r="3" spans="2:13" ht="15.75" thickBot="1">
      <c r="B3" s="86"/>
      <c r="C3" s="89" t="s">
        <v>5</v>
      </c>
      <c r="D3" s="88" t="s">
        <v>6</v>
      </c>
      <c r="E3" s="87" t="s">
        <v>83</v>
      </c>
      <c r="F3" s="88" t="s">
        <v>1</v>
      </c>
      <c r="G3" s="161" t="s">
        <v>2</v>
      </c>
      <c r="H3" s="161"/>
      <c r="I3" s="161"/>
      <c r="J3" s="89" t="s">
        <v>27</v>
      </c>
    </row>
    <row r="4" spans="2:13" ht="15.75" thickBot="1">
      <c r="B4" s="1"/>
      <c r="C4" s="17"/>
      <c r="D4" s="17"/>
      <c r="E4" s="2"/>
      <c r="F4" s="91" t="s">
        <v>84</v>
      </c>
      <c r="G4" s="147" t="s">
        <v>7</v>
      </c>
      <c r="H4" s="148" t="s">
        <v>8</v>
      </c>
      <c r="I4" s="147" t="s">
        <v>9</v>
      </c>
      <c r="J4" s="92"/>
      <c r="L4" s="21"/>
      <c r="M4" s="21"/>
    </row>
    <row r="5" spans="2:13">
      <c r="B5" s="93">
        <v>1</v>
      </c>
      <c r="C5" s="94" t="s">
        <v>12</v>
      </c>
      <c r="D5" s="95">
        <v>16718.25</v>
      </c>
      <c r="E5" s="96" t="s">
        <v>76</v>
      </c>
      <c r="F5" s="95">
        <v>12</v>
      </c>
      <c r="G5" s="95">
        <v>10008</v>
      </c>
      <c r="H5" s="95">
        <v>7149</v>
      </c>
      <c r="I5" s="97">
        <v>7149</v>
      </c>
      <c r="J5" s="98">
        <f>G5+H5+I5</f>
        <v>24306</v>
      </c>
      <c r="L5" s="21"/>
      <c r="M5" s="21"/>
    </row>
    <row r="6" spans="2:13" ht="15.75" thickBot="1">
      <c r="B6" s="99">
        <v>2</v>
      </c>
      <c r="C6" s="100" t="s">
        <v>23</v>
      </c>
      <c r="D6" s="101">
        <v>32822.269999999997</v>
      </c>
      <c r="E6" s="102" t="s">
        <v>77</v>
      </c>
      <c r="F6" s="103" t="s">
        <v>78</v>
      </c>
      <c r="G6" s="101">
        <v>14506</v>
      </c>
      <c r="H6" s="101">
        <v>13056</v>
      </c>
      <c r="I6" s="104">
        <v>14505</v>
      </c>
      <c r="J6" s="105">
        <v>42067</v>
      </c>
      <c r="L6" s="21"/>
      <c r="M6" s="21"/>
    </row>
    <row r="7" spans="2:13">
      <c r="C7" s="90"/>
      <c r="D7" s="21"/>
      <c r="E7" s="21"/>
      <c r="F7" s="21"/>
      <c r="G7" s="21"/>
      <c r="H7" s="21"/>
      <c r="I7" s="21"/>
      <c r="L7" s="21"/>
      <c r="M7" s="21"/>
    </row>
    <row r="8" spans="2:13">
      <c r="C8" s="90"/>
      <c r="D8" s="21"/>
      <c r="E8" s="21"/>
      <c r="F8" s="21"/>
      <c r="G8" s="163"/>
      <c r="H8" s="163"/>
      <c r="I8" s="163"/>
      <c r="L8" s="21"/>
      <c r="M8" s="21"/>
    </row>
    <row r="9" spans="2:13">
      <c r="C9" s="90"/>
      <c r="D9" s="21"/>
      <c r="E9" s="21"/>
      <c r="F9" s="21"/>
      <c r="G9" s="21"/>
      <c r="H9" s="21"/>
      <c r="I9" s="21"/>
      <c r="L9" s="21"/>
      <c r="M9" s="21"/>
    </row>
    <row r="10" spans="2:13">
      <c r="C10" s="90"/>
      <c r="D10" s="21"/>
      <c r="E10" s="21"/>
      <c r="F10" s="21"/>
      <c r="G10" s="21"/>
      <c r="H10" s="21"/>
      <c r="I10" s="21"/>
      <c r="L10" s="21"/>
      <c r="M10" s="21"/>
    </row>
    <row r="11" spans="2:13">
      <c r="C11" s="90"/>
      <c r="D11" s="21"/>
      <c r="E11" s="21"/>
      <c r="F11" s="21"/>
      <c r="G11" s="21"/>
      <c r="H11" s="21"/>
      <c r="I11" s="21"/>
    </row>
    <row r="12" spans="2:13">
      <c r="C12" s="111"/>
      <c r="D12" s="21"/>
      <c r="E12" s="21"/>
      <c r="G12" s="21"/>
      <c r="H12" s="21"/>
      <c r="I12" s="21"/>
      <c r="L12" s="21"/>
      <c r="M12" s="21"/>
    </row>
    <row r="13" spans="2:13">
      <c r="L13" s="21"/>
      <c r="M13" s="21"/>
    </row>
    <row r="14" spans="2:13">
      <c r="M14" s="21"/>
    </row>
    <row r="16" spans="2:13">
      <c r="C16" s="162"/>
      <c r="D16" s="21"/>
      <c r="E16" s="21"/>
      <c r="F16" s="65"/>
      <c r="G16" s="21"/>
      <c r="H16" s="21"/>
      <c r="I16" s="21"/>
    </row>
    <row r="17" spans="3:13">
      <c r="C17" s="162"/>
      <c r="D17" s="21"/>
      <c r="E17" s="21"/>
      <c r="F17" s="65"/>
      <c r="G17" s="21"/>
      <c r="H17" s="21"/>
      <c r="I17" s="21"/>
    </row>
    <row r="18" spans="3:13">
      <c r="C18" s="162"/>
      <c r="D18" s="21"/>
      <c r="E18" s="21"/>
      <c r="F18" s="65"/>
      <c r="G18" s="21"/>
      <c r="H18" s="21"/>
      <c r="I18" s="21"/>
      <c r="L18" s="111"/>
      <c r="M18" s="111"/>
    </row>
    <row r="19" spans="3:13">
      <c r="C19" s="162"/>
      <c r="D19" s="21"/>
      <c r="E19" s="21"/>
      <c r="F19" s="65"/>
      <c r="G19" s="21"/>
      <c r="H19" s="21"/>
      <c r="I19" s="21"/>
      <c r="L19" s="111"/>
      <c r="M19" s="111"/>
    </row>
    <row r="20" spans="3:13">
      <c r="C20" s="162"/>
      <c r="D20" s="21"/>
      <c r="E20" s="21"/>
      <c r="F20" s="65"/>
      <c r="G20" s="21"/>
      <c r="H20" s="21"/>
      <c r="I20" s="21"/>
      <c r="L20" s="111"/>
      <c r="M20" s="111"/>
    </row>
    <row r="21" spans="3:13">
      <c r="C21" s="162"/>
      <c r="D21" s="21"/>
      <c r="E21" s="21"/>
      <c r="F21" s="65"/>
      <c r="G21" s="21"/>
      <c r="H21" s="21"/>
      <c r="I21" s="21"/>
      <c r="L21" s="111"/>
      <c r="M21" s="112"/>
    </row>
    <row r="22" spans="3:13">
      <c r="C22" s="162"/>
      <c r="D22" s="21"/>
      <c r="E22" s="21"/>
      <c r="F22" s="65"/>
      <c r="G22" s="21"/>
      <c r="H22" s="21"/>
      <c r="I22" s="21"/>
    </row>
    <row r="23" spans="3:13">
      <c r="C23" s="162"/>
      <c r="D23" s="21"/>
      <c r="E23" s="21"/>
      <c r="F23" s="65"/>
      <c r="G23" s="21"/>
      <c r="H23" s="21"/>
      <c r="I23" s="21"/>
    </row>
    <row r="24" spans="3:13">
      <c r="C24" s="162"/>
      <c r="D24" s="21"/>
      <c r="E24" s="21"/>
      <c r="F24" s="65"/>
      <c r="G24" s="21"/>
      <c r="H24" s="21"/>
      <c r="I24" s="21"/>
    </row>
    <row r="25" spans="3:13">
      <c r="C25" s="162"/>
      <c r="D25" s="21"/>
      <c r="E25" s="21"/>
      <c r="F25" s="65"/>
      <c r="G25" s="21"/>
      <c r="H25" s="21"/>
      <c r="I25" s="21"/>
    </row>
    <row r="26" spans="3:13">
      <c r="C26" s="162"/>
      <c r="D26" s="21"/>
      <c r="E26" s="21"/>
      <c r="F26" s="65"/>
      <c r="G26" s="21"/>
      <c r="H26" s="21"/>
      <c r="I26" s="21"/>
    </row>
    <row r="27" spans="3:13">
      <c r="C27" s="162"/>
      <c r="D27" s="21"/>
      <c r="E27" s="21"/>
      <c r="F27" s="65"/>
      <c r="G27" s="21"/>
      <c r="H27" s="21"/>
      <c r="I27" s="21"/>
    </row>
    <row r="28" spans="3:13">
      <c r="C28" s="162"/>
      <c r="D28" s="21"/>
      <c r="E28" s="21"/>
      <c r="F28" s="65"/>
      <c r="G28" s="21"/>
      <c r="H28" s="21"/>
      <c r="I28" s="21"/>
    </row>
    <row r="29" spans="3:13">
      <c r="C29" s="162"/>
      <c r="D29" s="21"/>
      <c r="E29" s="21"/>
      <c r="F29" s="65"/>
      <c r="G29" s="21"/>
      <c r="H29" s="21"/>
      <c r="I29" s="21"/>
    </row>
    <row r="30" spans="3:13">
      <c r="C30" s="162"/>
      <c r="D30" s="21"/>
      <c r="E30" s="21"/>
      <c r="F30" s="65"/>
      <c r="G30" s="21"/>
      <c r="H30" s="21"/>
      <c r="I30" s="21"/>
    </row>
    <row r="31" spans="3:13">
      <c r="C31" s="162"/>
      <c r="D31" s="21"/>
      <c r="E31" s="21"/>
      <c r="F31" s="65"/>
      <c r="G31" s="21"/>
      <c r="H31" s="21"/>
      <c r="I31" s="21"/>
    </row>
    <row r="32" spans="3:13">
      <c r="C32" s="162"/>
      <c r="D32" s="21"/>
      <c r="E32" s="21"/>
      <c r="F32" s="65"/>
      <c r="G32" s="21"/>
      <c r="H32" s="21"/>
      <c r="I32" s="21"/>
    </row>
    <row r="33" spans="2:10">
      <c r="C33" s="162"/>
      <c r="D33" s="21"/>
      <c r="E33" s="21"/>
      <c r="F33" s="65"/>
      <c r="G33" s="21"/>
      <c r="H33" s="21"/>
      <c r="I33" s="21"/>
    </row>
    <row r="34" spans="2:10">
      <c r="F34" s="69"/>
    </row>
    <row r="37" spans="2:10">
      <c r="H37" t="s">
        <v>27</v>
      </c>
      <c r="J37" t="s">
        <v>28</v>
      </c>
    </row>
    <row r="38" spans="2:10" ht="17.25">
      <c r="B38" s="80"/>
    </row>
  </sheetData>
  <mergeCells count="3">
    <mergeCell ref="G3:I3"/>
    <mergeCell ref="C16:C33"/>
    <mergeCell ref="G8:I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Z29"/>
  <sheetViews>
    <sheetView topLeftCell="A4" workbookViewId="0">
      <selection activeCell="Z8" sqref="Z8:Z26"/>
    </sheetView>
  </sheetViews>
  <sheetFormatPr defaultColWidth="9" defaultRowHeight="15"/>
  <cols>
    <col min="2" max="2" width="5.5703125" customWidth="1"/>
    <col min="3" max="3" width="11" customWidth="1"/>
    <col min="4" max="4" width="11.85546875" customWidth="1"/>
    <col min="5" max="5" width="13.140625" customWidth="1"/>
    <col min="10" max="10" width="7" customWidth="1"/>
    <col min="11" max="11" width="10" customWidth="1"/>
    <col min="12" max="12" width="13.7109375" customWidth="1"/>
    <col min="13" max="13" width="12" customWidth="1"/>
    <col min="14" max="14" width="10.5703125" customWidth="1"/>
    <col min="15" max="15" width="12.5703125" customWidth="1"/>
    <col min="16" max="16" width="11.42578125" customWidth="1"/>
    <col min="19" max="21" width="12.5703125" customWidth="1"/>
    <col min="22" max="22" width="11.140625" customWidth="1"/>
    <col min="23" max="23" width="14.28515625" customWidth="1"/>
    <col min="24" max="24" width="13.85546875" customWidth="1"/>
    <col min="25" max="25" width="5.85546875" customWidth="1"/>
    <col min="26" max="26" width="10.7109375" customWidth="1"/>
  </cols>
  <sheetData>
    <row r="3" spans="2:26">
      <c r="K3" s="21"/>
      <c r="L3" s="21"/>
    </row>
    <row r="4" spans="2:26" ht="21">
      <c r="C4" s="61" t="s">
        <v>29</v>
      </c>
      <c r="K4" s="70" t="s">
        <v>30</v>
      </c>
      <c r="L4" s="21"/>
    </row>
    <row r="5" spans="2:26" ht="15.75" thickBot="1">
      <c r="K5" s="5"/>
      <c r="L5" s="5"/>
      <c r="M5" s="5"/>
      <c r="N5" s="5"/>
      <c r="O5" s="5"/>
      <c r="P5" s="5"/>
    </row>
    <row r="6" spans="2:26" ht="15.75" thickBot="1">
      <c r="B6" s="17"/>
      <c r="C6" s="62" t="s">
        <v>31</v>
      </c>
      <c r="D6" s="10" t="s">
        <v>32</v>
      </c>
      <c r="E6" s="164" t="s">
        <v>33</v>
      </c>
      <c r="F6" s="161"/>
      <c r="G6" s="165"/>
      <c r="H6" s="10" t="s">
        <v>34</v>
      </c>
      <c r="J6" s="10" t="s">
        <v>4</v>
      </c>
      <c r="K6" s="17"/>
      <c r="L6" s="17"/>
      <c r="M6" s="166" t="s">
        <v>113</v>
      </c>
      <c r="N6" s="161"/>
      <c r="O6" s="161"/>
      <c r="P6" s="10" t="s">
        <v>35</v>
      </c>
      <c r="Q6" s="164" t="s">
        <v>36</v>
      </c>
      <c r="R6" s="161"/>
      <c r="S6" s="165"/>
      <c r="T6" s="167" t="s">
        <v>80</v>
      </c>
      <c r="U6" s="161"/>
      <c r="V6" s="165"/>
      <c r="W6" s="19" t="s">
        <v>37</v>
      </c>
      <c r="X6" s="84" t="s">
        <v>79</v>
      </c>
      <c r="Y6" s="17"/>
      <c r="Z6" s="85" t="s">
        <v>81</v>
      </c>
    </row>
    <row r="7" spans="2:26" ht="15.75" thickBot="1">
      <c r="B7" s="18"/>
      <c r="C7" s="41"/>
      <c r="D7" s="14" t="s">
        <v>38</v>
      </c>
      <c r="E7" s="12" t="s">
        <v>7</v>
      </c>
      <c r="F7" s="63" t="s">
        <v>8</v>
      </c>
      <c r="G7" s="71" t="s">
        <v>9</v>
      </c>
      <c r="H7" s="18"/>
      <c r="J7" s="18"/>
      <c r="K7" s="14" t="s">
        <v>39</v>
      </c>
      <c r="L7" s="18" t="s">
        <v>40</v>
      </c>
      <c r="M7" s="11" t="s">
        <v>7</v>
      </c>
      <c r="N7" s="74" t="s">
        <v>8</v>
      </c>
      <c r="O7" s="74" t="s">
        <v>9</v>
      </c>
      <c r="P7" s="19"/>
      <c r="Q7" s="21" t="s">
        <v>7</v>
      </c>
      <c r="R7" s="74" t="s">
        <v>8</v>
      </c>
      <c r="S7" s="74" t="s">
        <v>9</v>
      </c>
      <c r="T7" s="11" t="s">
        <v>7</v>
      </c>
      <c r="U7" s="74" t="s">
        <v>8</v>
      </c>
      <c r="V7" s="74" t="s">
        <v>9</v>
      </c>
      <c r="W7" s="10" t="s">
        <v>20</v>
      </c>
      <c r="X7" s="4"/>
      <c r="Y7" s="18"/>
      <c r="Z7" s="8"/>
    </row>
    <row r="8" spans="2:26" ht="19.5" customHeight="1">
      <c r="B8" s="1"/>
      <c r="C8" s="17"/>
      <c r="D8" s="2"/>
      <c r="E8" s="16"/>
      <c r="F8" s="7"/>
      <c r="H8" s="17"/>
      <c r="J8" s="17">
        <v>1</v>
      </c>
      <c r="K8" t="s">
        <v>41</v>
      </c>
      <c r="L8" s="72">
        <v>118000</v>
      </c>
      <c r="M8" s="75">
        <f>L8*0.55</f>
        <v>64900.000000000007</v>
      </c>
      <c r="N8" s="76">
        <f>L8*0.35</f>
        <v>41300</v>
      </c>
      <c r="O8" s="75">
        <f>L8*0.1</f>
        <v>11800</v>
      </c>
      <c r="P8" s="62">
        <v>9</v>
      </c>
      <c r="Q8" s="10">
        <f>0.05*M8</f>
        <v>3245.0000000000005</v>
      </c>
      <c r="R8" s="10">
        <f t="shared" ref="R8:S14" si="0">0.05*N8</f>
        <v>2065</v>
      </c>
      <c r="S8" s="21">
        <f t="shared" si="0"/>
        <v>590</v>
      </c>
      <c r="T8" s="17">
        <f>5*Q8</f>
        <v>16225.000000000002</v>
      </c>
      <c r="U8" s="17">
        <f t="shared" ref="U8:V9" si="1">5*R8</f>
        <v>10325</v>
      </c>
      <c r="V8" s="1">
        <f t="shared" si="1"/>
        <v>2950</v>
      </c>
      <c r="W8" s="10">
        <v>7.2</v>
      </c>
      <c r="X8" s="3">
        <f>Q8+R8+S8</f>
        <v>5900</v>
      </c>
      <c r="Y8" s="16">
        <v>5</v>
      </c>
      <c r="Z8" s="7">
        <f>X8*$Y$8</f>
        <v>29500</v>
      </c>
    </row>
    <row r="9" spans="2:26" ht="15.75" customHeight="1">
      <c r="B9" s="3">
        <v>1</v>
      </c>
      <c r="C9" s="64" t="s">
        <v>16</v>
      </c>
      <c r="D9" s="65">
        <v>177000</v>
      </c>
      <c r="E9" s="15">
        <f>0.4*D9</f>
        <v>70800</v>
      </c>
      <c r="F9" s="15">
        <f>0.48*D9</f>
        <v>84960</v>
      </c>
      <c r="G9" s="15">
        <f>0.12*D9</f>
        <v>21240</v>
      </c>
      <c r="H9" s="15">
        <v>18</v>
      </c>
      <c r="J9" s="16">
        <v>2</v>
      </c>
      <c r="K9" t="s">
        <v>42</v>
      </c>
      <c r="L9" s="73">
        <v>200000</v>
      </c>
      <c r="M9" s="77">
        <f>L9*0.55</f>
        <v>110000.00000000001</v>
      </c>
      <c r="N9" s="76">
        <f>L9*0.35</f>
        <v>70000</v>
      </c>
      <c r="O9" s="77">
        <f>L9*0.1</f>
        <v>20000</v>
      </c>
      <c r="P9" s="21">
        <v>11</v>
      </c>
      <c r="Q9" s="15">
        <f t="shared" ref="Q9:Q14" si="2">0.05*M9</f>
        <v>5500.0000000000009</v>
      </c>
      <c r="R9" s="15">
        <f t="shared" si="0"/>
        <v>3500</v>
      </c>
      <c r="S9" s="21">
        <f t="shared" si="0"/>
        <v>1000</v>
      </c>
      <c r="T9" s="16">
        <f t="shared" ref="T9:U17" si="3">5*Q9</f>
        <v>27500.000000000004</v>
      </c>
      <c r="U9" s="16">
        <f t="shared" si="1"/>
        <v>17500</v>
      </c>
      <c r="V9" s="3">
        <f t="shared" si="1"/>
        <v>5000</v>
      </c>
      <c r="W9" s="15">
        <v>7.2</v>
      </c>
      <c r="X9" s="3">
        <f t="shared" ref="X9:X26" si="4">Q9+R9+S9</f>
        <v>10000</v>
      </c>
      <c r="Y9" s="16"/>
      <c r="Z9" s="7">
        <f t="shared" ref="Z9:Z26" si="5">X9*$Y$8</f>
        <v>50000</v>
      </c>
    </row>
    <row r="10" spans="2:26" ht="18" customHeight="1">
      <c r="B10" s="3">
        <v>2</v>
      </c>
      <c r="C10" s="64" t="s">
        <v>14</v>
      </c>
      <c r="D10" s="21">
        <v>134000</v>
      </c>
      <c r="E10" s="15">
        <f>0.63*D10</f>
        <v>84420</v>
      </c>
      <c r="F10" s="15">
        <f>0.25*D10</f>
        <v>33500</v>
      </c>
      <c r="G10" s="15">
        <f>0.12*D10</f>
        <v>16080</v>
      </c>
      <c r="H10" s="15">
        <v>25</v>
      </c>
      <c r="J10" s="16">
        <v>3</v>
      </c>
      <c r="K10" t="s">
        <v>43</v>
      </c>
      <c r="L10" s="73">
        <v>110000</v>
      </c>
      <c r="M10" s="77">
        <v>52500</v>
      </c>
      <c r="N10">
        <v>24500</v>
      </c>
      <c r="O10" s="77">
        <v>33000</v>
      </c>
      <c r="P10" s="21">
        <v>10</v>
      </c>
      <c r="Q10" s="15">
        <f t="shared" si="2"/>
        <v>2625</v>
      </c>
      <c r="R10" s="15">
        <f t="shared" si="0"/>
        <v>1225</v>
      </c>
      <c r="S10" s="21">
        <v>3500</v>
      </c>
      <c r="T10" s="16">
        <f t="shared" si="3"/>
        <v>13125</v>
      </c>
      <c r="U10" s="16">
        <f t="shared" si="3"/>
        <v>6125</v>
      </c>
      <c r="V10" s="3">
        <f>S10*5</f>
        <v>17500</v>
      </c>
      <c r="W10" s="15">
        <v>7.2</v>
      </c>
      <c r="X10" s="3">
        <f t="shared" si="4"/>
        <v>7350</v>
      </c>
      <c r="Y10" s="16"/>
      <c r="Z10" s="7">
        <f t="shared" si="5"/>
        <v>36750</v>
      </c>
    </row>
    <row r="11" spans="2:26" ht="14.25" customHeight="1">
      <c r="B11" s="3">
        <v>3</v>
      </c>
      <c r="C11" s="64" t="s">
        <v>13</v>
      </c>
      <c r="D11" s="65">
        <v>348000</v>
      </c>
      <c r="E11" s="15">
        <v>96000</v>
      </c>
      <c r="F11" s="66">
        <v>124000</v>
      </c>
      <c r="G11" s="21">
        <v>112000</v>
      </c>
      <c r="H11" s="15">
        <v>37</v>
      </c>
      <c r="J11" s="16">
        <v>4</v>
      </c>
      <c r="K11" t="s">
        <v>44</v>
      </c>
      <c r="L11" s="73">
        <v>150000</v>
      </c>
      <c r="M11" s="16">
        <f>L11*0.5</f>
        <v>75000</v>
      </c>
      <c r="N11">
        <f>L11*0.3</f>
        <v>45000</v>
      </c>
      <c r="O11" s="16">
        <f>L11*0.2</f>
        <v>30000</v>
      </c>
      <c r="P11" s="21">
        <v>8.5</v>
      </c>
      <c r="Q11" s="15">
        <f t="shared" si="2"/>
        <v>3750</v>
      </c>
      <c r="R11" s="15">
        <f t="shared" si="0"/>
        <v>2250</v>
      </c>
      <c r="S11" s="21">
        <v>350</v>
      </c>
      <c r="T11" s="16">
        <f t="shared" si="3"/>
        <v>18750</v>
      </c>
      <c r="U11" s="16">
        <v>1900</v>
      </c>
      <c r="V11" s="3">
        <v>1900</v>
      </c>
      <c r="W11" s="15">
        <v>7.2</v>
      </c>
      <c r="X11" s="3">
        <f t="shared" si="4"/>
        <v>6350</v>
      </c>
      <c r="Y11" s="16"/>
      <c r="Z11" s="7">
        <f t="shared" si="5"/>
        <v>31750</v>
      </c>
    </row>
    <row r="12" spans="2:26" ht="15" customHeight="1">
      <c r="B12" s="3">
        <v>4</v>
      </c>
      <c r="C12" s="64" t="s">
        <v>45</v>
      </c>
      <c r="D12" s="65">
        <v>260000</v>
      </c>
      <c r="E12" s="15">
        <v>81000</v>
      </c>
      <c r="F12" s="66">
        <v>128700</v>
      </c>
      <c r="G12" s="21">
        <v>170000</v>
      </c>
      <c r="H12" s="15">
        <v>16</v>
      </c>
      <c r="J12" s="16">
        <v>5</v>
      </c>
      <c r="K12" t="s">
        <v>46</v>
      </c>
      <c r="L12" s="73">
        <v>350000</v>
      </c>
      <c r="M12" s="16">
        <v>250000</v>
      </c>
      <c r="N12">
        <v>150000</v>
      </c>
      <c r="O12" s="16">
        <v>0</v>
      </c>
      <c r="P12" s="21">
        <v>16</v>
      </c>
      <c r="Q12" s="15">
        <f t="shared" si="2"/>
        <v>12500</v>
      </c>
      <c r="R12" s="15">
        <f t="shared" si="0"/>
        <v>7500</v>
      </c>
      <c r="S12" s="21">
        <f t="shared" ref="S12" si="6">0.05*O12</f>
        <v>0</v>
      </c>
      <c r="T12" s="16">
        <f t="shared" si="3"/>
        <v>62500</v>
      </c>
      <c r="U12" s="16">
        <f t="shared" ref="U12" si="7">5*R12</f>
        <v>37500</v>
      </c>
      <c r="V12" s="3">
        <f t="shared" ref="V12" si="8">5*S12</f>
        <v>0</v>
      </c>
      <c r="W12" s="15">
        <v>7.2</v>
      </c>
      <c r="X12" s="3">
        <f t="shared" si="4"/>
        <v>20000</v>
      </c>
      <c r="Y12" s="16"/>
      <c r="Z12" s="7">
        <f t="shared" si="5"/>
        <v>100000</v>
      </c>
    </row>
    <row r="13" spans="2:26" ht="15.75" customHeight="1">
      <c r="B13" s="3">
        <v>5</v>
      </c>
      <c r="C13" s="64" t="s">
        <v>47</v>
      </c>
      <c r="D13" s="65">
        <v>125000</v>
      </c>
      <c r="E13" s="15">
        <v>81250</v>
      </c>
      <c r="F13" s="66">
        <v>43750</v>
      </c>
      <c r="G13" s="21">
        <v>0</v>
      </c>
      <c r="H13" s="15">
        <v>27</v>
      </c>
      <c r="J13" s="16">
        <v>6</v>
      </c>
      <c r="K13" t="s">
        <v>48</v>
      </c>
      <c r="L13" s="73">
        <v>113000</v>
      </c>
      <c r="M13" s="16">
        <f>L13*0.7</f>
        <v>79100</v>
      </c>
      <c r="N13">
        <f>L13*0.3</f>
        <v>33900</v>
      </c>
      <c r="O13" s="16">
        <v>0</v>
      </c>
      <c r="P13" s="21">
        <v>9</v>
      </c>
      <c r="Q13" s="15">
        <f t="shared" si="2"/>
        <v>3955</v>
      </c>
      <c r="R13" s="15">
        <f t="shared" si="0"/>
        <v>1695</v>
      </c>
      <c r="S13" s="21">
        <v>0</v>
      </c>
      <c r="T13" s="16">
        <f t="shared" si="3"/>
        <v>19775</v>
      </c>
      <c r="U13" s="16">
        <f t="shared" si="3"/>
        <v>8475</v>
      </c>
      <c r="V13" s="3">
        <v>0</v>
      </c>
      <c r="W13" s="15">
        <v>7.2</v>
      </c>
      <c r="X13" s="3">
        <f t="shared" si="4"/>
        <v>5650</v>
      </c>
      <c r="Y13" s="16"/>
      <c r="Z13" s="7">
        <f t="shared" si="5"/>
        <v>28250</v>
      </c>
    </row>
    <row r="14" spans="2:26" ht="16.5" thickBot="1">
      <c r="B14" s="4">
        <v>6</v>
      </c>
      <c r="C14" s="67" t="s">
        <v>17</v>
      </c>
      <c r="D14" s="68">
        <v>10000</v>
      </c>
      <c r="E14" s="14">
        <v>1987</v>
      </c>
      <c r="F14" s="54">
        <v>2439</v>
      </c>
      <c r="G14" s="41">
        <v>1831</v>
      </c>
      <c r="H14" s="14">
        <v>20</v>
      </c>
      <c r="J14" s="16">
        <v>7</v>
      </c>
      <c r="K14" t="s">
        <v>49</v>
      </c>
      <c r="L14" s="73">
        <v>300000</v>
      </c>
      <c r="M14" s="16">
        <f>L14*0.6</f>
        <v>180000</v>
      </c>
      <c r="N14">
        <f>L14*0.25</f>
        <v>75000</v>
      </c>
      <c r="O14" s="16">
        <f>L14*0.15</f>
        <v>45000</v>
      </c>
      <c r="P14" s="21">
        <v>18</v>
      </c>
      <c r="Q14" s="15">
        <f t="shared" si="2"/>
        <v>9000</v>
      </c>
      <c r="R14" s="15">
        <f t="shared" si="0"/>
        <v>3750</v>
      </c>
      <c r="S14" s="21">
        <f t="shared" ref="S14" si="9">0.05*O14</f>
        <v>2250</v>
      </c>
      <c r="T14" s="16">
        <f t="shared" si="3"/>
        <v>45000</v>
      </c>
      <c r="U14" s="16">
        <f t="shared" ref="U14" si="10">5*R14</f>
        <v>18750</v>
      </c>
      <c r="V14" s="3">
        <f t="shared" ref="V14" si="11">5*S14</f>
        <v>11250</v>
      </c>
      <c r="W14" s="15">
        <v>7.2</v>
      </c>
      <c r="X14" s="3">
        <f t="shared" si="4"/>
        <v>15000</v>
      </c>
      <c r="Y14" s="16"/>
      <c r="Z14" s="7">
        <f t="shared" si="5"/>
        <v>75000</v>
      </c>
    </row>
    <row r="15" spans="2:26">
      <c r="J15" s="16">
        <v>8</v>
      </c>
      <c r="K15" t="s">
        <v>50</v>
      </c>
      <c r="L15" s="3">
        <v>55000</v>
      </c>
      <c r="M15" s="16">
        <v>300100</v>
      </c>
      <c r="N15">
        <f>M15*0.55</f>
        <v>165055</v>
      </c>
      <c r="O15" s="16">
        <f>N15*0.55</f>
        <v>90780.250000000015</v>
      </c>
      <c r="P15" s="21">
        <v>9</v>
      </c>
      <c r="Q15" s="15">
        <f t="shared" ref="Q15:Q17" si="12">0.05*M15</f>
        <v>15005</v>
      </c>
      <c r="R15" s="15">
        <f t="shared" ref="R15:R17" si="13">0.05*N15</f>
        <v>8252.75</v>
      </c>
      <c r="S15" s="21">
        <f t="shared" ref="S15:S17" si="14">0.05*O15</f>
        <v>4539.0125000000007</v>
      </c>
      <c r="T15" s="16">
        <f t="shared" si="3"/>
        <v>75025</v>
      </c>
      <c r="U15" s="16">
        <f t="shared" si="3"/>
        <v>41263.75</v>
      </c>
      <c r="V15" s="3">
        <v>1500</v>
      </c>
      <c r="W15" s="15">
        <v>7.2</v>
      </c>
      <c r="X15" s="3">
        <f t="shared" si="4"/>
        <v>27796.762500000001</v>
      </c>
      <c r="Y15" s="16"/>
      <c r="Z15" s="7">
        <f t="shared" si="5"/>
        <v>138983.8125</v>
      </c>
    </row>
    <row r="16" spans="2:26">
      <c r="J16" s="16">
        <v>9</v>
      </c>
      <c r="K16" t="s">
        <v>51</v>
      </c>
      <c r="L16" s="3">
        <v>100000</v>
      </c>
      <c r="M16" s="16">
        <f>0.63*L16</f>
        <v>63000</v>
      </c>
      <c r="N16">
        <f>0.25*L16</f>
        <v>25000</v>
      </c>
      <c r="O16" s="16">
        <f>0.12*L16</f>
        <v>12000</v>
      </c>
      <c r="P16" s="21">
        <v>15</v>
      </c>
      <c r="Q16" s="15">
        <f t="shared" si="12"/>
        <v>3150</v>
      </c>
      <c r="R16" s="15">
        <f t="shared" si="13"/>
        <v>1250</v>
      </c>
      <c r="S16" s="21">
        <f t="shared" si="14"/>
        <v>600</v>
      </c>
      <c r="T16" s="16">
        <f t="shared" si="3"/>
        <v>15750</v>
      </c>
      <c r="U16" s="16">
        <f t="shared" ref="U16" si="15">5*R16</f>
        <v>6250</v>
      </c>
      <c r="V16" s="3">
        <f t="shared" ref="V16" si="16">5*S16</f>
        <v>3000</v>
      </c>
      <c r="W16" s="15">
        <v>7.2</v>
      </c>
      <c r="X16" s="3">
        <f t="shared" si="4"/>
        <v>5000</v>
      </c>
      <c r="Y16" s="16"/>
      <c r="Z16" s="7">
        <f t="shared" si="5"/>
        <v>25000</v>
      </c>
    </row>
    <row r="17" spans="5:26">
      <c r="J17" s="16">
        <v>10</v>
      </c>
      <c r="K17" t="s">
        <v>52</v>
      </c>
      <c r="L17" s="73">
        <v>688000</v>
      </c>
      <c r="M17" s="78">
        <f>L17*0.62</f>
        <v>426560</v>
      </c>
      <c r="N17" s="69">
        <f>L17*0.28</f>
        <v>192640.00000000003</v>
      </c>
      <c r="O17" s="78">
        <f>L17*0.1</f>
        <v>68800</v>
      </c>
      <c r="P17" s="21">
        <v>9</v>
      </c>
      <c r="Q17" s="15">
        <f t="shared" si="12"/>
        <v>21328</v>
      </c>
      <c r="R17" s="15">
        <f t="shared" si="13"/>
        <v>9632.0000000000018</v>
      </c>
      <c r="S17" s="21">
        <f t="shared" si="14"/>
        <v>3440</v>
      </c>
      <c r="T17" s="16">
        <f t="shared" si="3"/>
        <v>106640</v>
      </c>
      <c r="U17" s="16">
        <f t="shared" ref="U17" si="17">5*R17</f>
        <v>48160.000000000007</v>
      </c>
      <c r="V17" s="3">
        <f t="shared" ref="V17" si="18">5*S17</f>
        <v>17200</v>
      </c>
      <c r="W17" s="15">
        <v>7.2</v>
      </c>
      <c r="X17" s="3">
        <f t="shared" si="4"/>
        <v>34400</v>
      </c>
      <c r="Y17" s="16"/>
      <c r="Z17" s="7">
        <f t="shared" si="5"/>
        <v>172000</v>
      </c>
    </row>
    <row r="18" spans="5:26">
      <c r="J18" s="16">
        <v>11</v>
      </c>
      <c r="K18" t="s">
        <v>53</v>
      </c>
      <c r="L18" s="73">
        <v>125000</v>
      </c>
      <c r="M18" s="16">
        <v>41383</v>
      </c>
      <c r="N18">
        <v>54975</v>
      </c>
      <c r="O18" s="16">
        <v>27978</v>
      </c>
      <c r="P18" s="21">
        <v>9</v>
      </c>
      <c r="Q18" s="15">
        <v>1554</v>
      </c>
      <c r="R18" s="15">
        <v>3032</v>
      </c>
      <c r="S18" s="21">
        <v>614</v>
      </c>
      <c r="T18" s="16">
        <v>88206</v>
      </c>
      <c r="U18" s="16">
        <v>17070</v>
      </c>
      <c r="V18" s="3">
        <v>3239</v>
      </c>
      <c r="W18" s="15">
        <v>7.2</v>
      </c>
      <c r="X18" s="3">
        <f t="shared" si="4"/>
        <v>5200</v>
      </c>
      <c r="Y18" s="16"/>
      <c r="Z18" s="7">
        <f t="shared" si="5"/>
        <v>26000</v>
      </c>
    </row>
    <row r="19" spans="5:26">
      <c r="E19" s="69"/>
      <c r="J19" s="16">
        <v>12</v>
      </c>
      <c r="K19" t="s">
        <v>54</v>
      </c>
      <c r="L19" s="3">
        <v>62000</v>
      </c>
      <c r="M19" s="16">
        <v>23818</v>
      </c>
      <c r="N19">
        <v>18900</v>
      </c>
      <c r="O19" s="16">
        <v>9566</v>
      </c>
      <c r="P19" s="21">
        <v>9</v>
      </c>
      <c r="Q19" s="15">
        <v>1250</v>
      </c>
      <c r="R19" s="15">
        <v>734</v>
      </c>
      <c r="S19" s="21">
        <v>99</v>
      </c>
      <c r="T19" s="16">
        <v>7076</v>
      </c>
      <c r="U19" s="16">
        <v>4155</v>
      </c>
      <c r="V19" s="3">
        <v>562</v>
      </c>
      <c r="W19" s="15">
        <v>7.2</v>
      </c>
      <c r="X19" s="3">
        <f t="shared" si="4"/>
        <v>2083</v>
      </c>
      <c r="Y19" s="16"/>
      <c r="Z19" s="7">
        <f t="shared" si="5"/>
        <v>10415</v>
      </c>
    </row>
    <row r="20" spans="5:26">
      <c r="J20" s="16">
        <v>13</v>
      </c>
      <c r="K20" t="s">
        <v>55</v>
      </c>
      <c r="L20" s="3">
        <v>160000</v>
      </c>
      <c r="M20" s="16">
        <f>L20*0.6</f>
        <v>96000</v>
      </c>
      <c r="N20">
        <f>M20*0.44</f>
        <v>42240</v>
      </c>
      <c r="O20" s="16">
        <f>N20*0.5</f>
        <v>21120</v>
      </c>
      <c r="P20" s="21">
        <v>16</v>
      </c>
      <c r="Q20" s="15">
        <f>0.05*M20</f>
        <v>4800</v>
      </c>
      <c r="R20" s="15">
        <f>0.05*N20</f>
        <v>2112</v>
      </c>
      <c r="S20" s="21">
        <f t="shared" ref="R20:S23" si="19">0.05*O20</f>
        <v>1056</v>
      </c>
      <c r="T20" s="16">
        <f>5*Q20</f>
        <v>24000</v>
      </c>
      <c r="U20" s="16">
        <f t="shared" ref="U20:V23" si="20">5*R20</f>
        <v>10560</v>
      </c>
      <c r="V20" s="3">
        <f t="shared" si="20"/>
        <v>5280</v>
      </c>
      <c r="W20" s="15">
        <v>7.2</v>
      </c>
      <c r="X20" s="3">
        <f t="shared" si="4"/>
        <v>7968</v>
      </c>
      <c r="Y20" s="16"/>
      <c r="Z20" s="7">
        <f t="shared" si="5"/>
        <v>39840</v>
      </c>
    </row>
    <row r="21" spans="5:26">
      <c r="J21" s="16">
        <v>14</v>
      </c>
      <c r="K21" t="s">
        <v>56</v>
      </c>
      <c r="L21" s="73">
        <v>100000</v>
      </c>
      <c r="M21" s="16">
        <f t="shared" ref="M21:M23" si="21">L21*0.6</f>
        <v>60000</v>
      </c>
      <c r="N21">
        <f t="shared" ref="N21:N22" si="22">M21*0.44</f>
        <v>26400</v>
      </c>
      <c r="O21" s="16">
        <f t="shared" ref="O21:O22" si="23">N21*0.5</f>
        <v>13200</v>
      </c>
      <c r="P21" s="21">
        <v>12</v>
      </c>
      <c r="Q21" s="15">
        <f t="shared" ref="Q21:Q23" si="24">0.05*M21</f>
        <v>3000</v>
      </c>
      <c r="R21" s="15">
        <f t="shared" si="19"/>
        <v>1320</v>
      </c>
      <c r="S21" s="21">
        <f t="shared" si="19"/>
        <v>660</v>
      </c>
      <c r="T21" s="16">
        <f t="shared" ref="T21:T23" si="25">5*Q21</f>
        <v>15000</v>
      </c>
      <c r="U21" s="16">
        <f t="shared" si="20"/>
        <v>6600</v>
      </c>
      <c r="V21" s="3">
        <f t="shared" si="20"/>
        <v>3300</v>
      </c>
      <c r="W21" s="15">
        <v>7.2</v>
      </c>
      <c r="X21" s="3">
        <f t="shared" si="4"/>
        <v>4980</v>
      </c>
      <c r="Y21" s="16"/>
      <c r="Z21" s="7">
        <f t="shared" si="5"/>
        <v>24900</v>
      </c>
    </row>
    <row r="22" spans="5:26">
      <c r="J22" s="16">
        <v>15</v>
      </c>
      <c r="K22" t="s">
        <v>57</v>
      </c>
      <c r="L22" s="3">
        <v>150000</v>
      </c>
      <c r="M22" s="16">
        <f t="shared" si="21"/>
        <v>90000</v>
      </c>
      <c r="N22">
        <f t="shared" si="22"/>
        <v>39600</v>
      </c>
      <c r="O22" s="16">
        <f t="shared" si="23"/>
        <v>19800</v>
      </c>
      <c r="P22" s="21">
        <v>10</v>
      </c>
      <c r="Q22" s="15">
        <f t="shared" si="24"/>
        <v>4500</v>
      </c>
      <c r="R22" s="15">
        <f t="shared" si="19"/>
        <v>1980</v>
      </c>
      <c r="S22" s="21">
        <f t="shared" si="19"/>
        <v>990</v>
      </c>
      <c r="T22" s="16">
        <f t="shared" si="25"/>
        <v>22500</v>
      </c>
      <c r="U22" s="16">
        <f>5*R22</f>
        <v>9900</v>
      </c>
      <c r="V22" s="3">
        <f t="shared" si="20"/>
        <v>4950</v>
      </c>
      <c r="W22" s="15">
        <v>7.2</v>
      </c>
      <c r="X22" s="3">
        <f t="shared" si="4"/>
        <v>7470</v>
      </c>
      <c r="Y22" s="16"/>
      <c r="Z22" s="7">
        <f t="shared" si="5"/>
        <v>37350</v>
      </c>
    </row>
    <row r="23" spans="5:26">
      <c r="J23" s="16">
        <v>16</v>
      </c>
      <c r="K23" t="s">
        <v>58</v>
      </c>
      <c r="L23" s="3">
        <v>92000</v>
      </c>
      <c r="M23" s="16">
        <f t="shared" si="21"/>
        <v>55200</v>
      </c>
      <c r="N23">
        <f>M23*0.5</f>
        <v>27600</v>
      </c>
      <c r="O23" s="16">
        <f>N23*0.4</f>
        <v>11040</v>
      </c>
      <c r="P23" s="21">
        <v>7</v>
      </c>
      <c r="Q23" s="15">
        <f t="shared" si="24"/>
        <v>2760</v>
      </c>
      <c r="R23" s="15">
        <f t="shared" si="19"/>
        <v>1380</v>
      </c>
      <c r="S23" s="21">
        <f>0.05*O23</f>
        <v>552</v>
      </c>
      <c r="T23" s="16">
        <f t="shared" si="25"/>
        <v>13800</v>
      </c>
      <c r="U23" s="16">
        <f t="shared" si="20"/>
        <v>6900</v>
      </c>
      <c r="V23" s="3">
        <f t="shared" si="20"/>
        <v>2760</v>
      </c>
      <c r="W23" s="15">
        <v>7.2</v>
      </c>
      <c r="X23" s="3">
        <f t="shared" si="4"/>
        <v>4692</v>
      </c>
      <c r="Y23" s="16"/>
      <c r="Z23" s="7">
        <f t="shared" si="5"/>
        <v>23460</v>
      </c>
    </row>
    <row r="24" spans="5:26">
      <c r="J24" s="16">
        <v>17</v>
      </c>
      <c r="K24" t="s">
        <v>59</v>
      </c>
      <c r="L24" s="3">
        <v>33200</v>
      </c>
      <c r="M24" s="16">
        <v>6166</v>
      </c>
      <c r="N24">
        <v>12122</v>
      </c>
      <c r="O24" s="16">
        <v>8452</v>
      </c>
      <c r="P24" s="21">
        <v>7</v>
      </c>
      <c r="Q24" s="15">
        <v>357</v>
      </c>
      <c r="R24" s="15">
        <v>233</v>
      </c>
      <c r="S24" s="21">
        <v>24</v>
      </c>
      <c r="T24" s="16">
        <f>Q24*5</f>
        <v>1785</v>
      </c>
      <c r="U24" s="16">
        <f t="shared" ref="U24:V24" si="26">R24*5</f>
        <v>1165</v>
      </c>
      <c r="V24" s="3">
        <f t="shared" si="26"/>
        <v>120</v>
      </c>
      <c r="W24" s="15">
        <v>7.2</v>
      </c>
      <c r="X24" s="3">
        <f t="shared" si="4"/>
        <v>614</v>
      </c>
      <c r="Y24" s="16"/>
      <c r="Z24" s="7">
        <f t="shared" si="5"/>
        <v>3070</v>
      </c>
    </row>
    <row r="25" spans="5:26">
      <c r="J25" s="16">
        <v>18</v>
      </c>
      <c r="K25" t="s">
        <v>60</v>
      </c>
      <c r="L25" s="3">
        <v>17000</v>
      </c>
      <c r="M25" s="16">
        <f>L25*0.62</f>
        <v>10540</v>
      </c>
      <c r="N25">
        <f>L25*0.28</f>
        <v>4760</v>
      </c>
      <c r="O25" s="16">
        <f>L25*0.1</f>
        <v>1700</v>
      </c>
      <c r="P25" s="21">
        <v>7</v>
      </c>
      <c r="Q25" s="15">
        <f>0.05*M25</f>
        <v>527</v>
      </c>
      <c r="R25" s="15">
        <f t="shared" ref="R25:S25" si="27">0.05*N25</f>
        <v>238</v>
      </c>
      <c r="S25" s="21">
        <f t="shared" si="27"/>
        <v>85</v>
      </c>
      <c r="T25" s="16">
        <f>5*Q25</f>
        <v>2635</v>
      </c>
      <c r="U25" s="16">
        <f t="shared" ref="U25:V26" si="28">5*R25</f>
        <v>1190</v>
      </c>
      <c r="V25" s="3">
        <f t="shared" si="28"/>
        <v>425</v>
      </c>
      <c r="W25" s="15">
        <v>7.2</v>
      </c>
      <c r="X25" s="3">
        <f t="shared" si="4"/>
        <v>850</v>
      </c>
      <c r="Y25" s="16"/>
      <c r="Z25" s="7">
        <f t="shared" si="5"/>
        <v>4250</v>
      </c>
    </row>
    <row r="26" spans="5:26" ht="15.75" thickBot="1">
      <c r="J26" s="18">
        <v>19</v>
      </c>
      <c r="K26" s="5" t="s">
        <v>61</v>
      </c>
      <c r="L26" s="4">
        <v>44000</v>
      </c>
      <c r="M26" s="18">
        <f>L26*0.6</f>
        <v>26400</v>
      </c>
      <c r="N26" s="5">
        <f>L26*0.27</f>
        <v>11880</v>
      </c>
      <c r="O26" s="18">
        <f>L26*0.13</f>
        <v>5720</v>
      </c>
      <c r="P26" s="41">
        <v>7</v>
      </c>
      <c r="Q26" s="14">
        <f>0.05*M26</f>
        <v>1320</v>
      </c>
      <c r="R26" s="14">
        <f>0.05*N26</f>
        <v>594</v>
      </c>
      <c r="S26" s="41">
        <v>1500</v>
      </c>
      <c r="T26" s="18">
        <f>5*Q26</f>
        <v>6600</v>
      </c>
      <c r="U26" s="18">
        <f t="shared" si="28"/>
        <v>2970</v>
      </c>
      <c r="V26" s="4">
        <f t="shared" si="28"/>
        <v>7500</v>
      </c>
      <c r="W26" s="14">
        <v>7.2</v>
      </c>
      <c r="X26" s="4">
        <f t="shared" si="4"/>
        <v>3414</v>
      </c>
      <c r="Y26" s="18"/>
      <c r="Z26" s="8">
        <f t="shared" si="5"/>
        <v>17070</v>
      </c>
    </row>
    <row r="27" spans="5:26">
      <c r="W27" s="21"/>
    </row>
    <row r="28" spans="5:26">
      <c r="M28" s="79"/>
      <c r="N28" s="79"/>
      <c r="O28" s="79"/>
    </row>
    <row r="29" spans="5:26">
      <c r="M29" s="79"/>
      <c r="N29" s="79"/>
    </row>
  </sheetData>
  <mergeCells count="4">
    <mergeCell ref="E6:G6"/>
    <mergeCell ref="M6:O6"/>
    <mergeCell ref="Q6:S6"/>
    <mergeCell ref="T6:V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AC93"/>
  <sheetViews>
    <sheetView topLeftCell="A39" zoomScale="85" zoomScaleNormal="85" workbookViewId="0">
      <selection activeCell="C39" sqref="C39:AA63"/>
    </sheetView>
  </sheetViews>
  <sheetFormatPr defaultColWidth="9" defaultRowHeight="15"/>
  <cols>
    <col min="1" max="1" width="6" customWidth="1"/>
    <col min="2" max="2" width="7.5703125" customWidth="1"/>
    <col min="3" max="3" width="7.140625" customWidth="1"/>
    <col min="4" max="4" width="7" customWidth="1"/>
    <col min="5" max="5" width="6.5703125" customWidth="1"/>
    <col min="6" max="6" width="7" customWidth="1"/>
    <col min="7" max="7" width="6.7109375" customWidth="1"/>
    <col min="8" max="8" width="7" customWidth="1"/>
    <col min="9" max="11" width="6.85546875" customWidth="1"/>
    <col min="12" max="12" width="6.7109375" customWidth="1"/>
    <col min="13" max="13" width="7" customWidth="1"/>
    <col min="14" max="14" width="7.5703125" customWidth="1"/>
    <col min="15" max="15" width="7" customWidth="1"/>
    <col min="16" max="16" width="6.85546875" customWidth="1"/>
    <col min="17" max="17" width="7" customWidth="1"/>
    <col min="18" max="18" width="7.140625" customWidth="1"/>
    <col min="19" max="19" width="6.85546875" customWidth="1"/>
    <col min="20" max="21" width="7" customWidth="1"/>
    <col min="22" max="22" width="6.5703125" customWidth="1"/>
    <col min="23" max="23" width="7.140625" customWidth="1"/>
    <col min="24" max="24" width="7" customWidth="1"/>
    <col min="25" max="25" width="6.7109375" customWidth="1"/>
    <col min="26" max="26" width="6.140625" customWidth="1"/>
    <col min="27" max="27" width="5.7109375" customWidth="1"/>
  </cols>
  <sheetData>
    <row r="3" spans="1:27" ht="18.75">
      <c r="A3" s="168" t="s">
        <v>62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</row>
    <row r="5" spans="1:27">
      <c r="A5" s="1"/>
      <c r="B5" s="17"/>
      <c r="C5" s="11">
        <v>1</v>
      </c>
      <c r="D5" s="24">
        <v>2</v>
      </c>
      <c r="E5" s="24">
        <v>3</v>
      </c>
      <c r="F5" s="24">
        <v>4</v>
      </c>
      <c r="G5" s="24">
        <v>5</v>
      </c>
      <c r="H5" s="24">
        <v>6</v>
      </c>
      <c r="I5" s="24">
        <v>7</v>
      </c>
      <c r="J5" s="24">
        <v>8</v>
      </c>
      <c r="K5" s="24">
        <v>9</v>
      </c>
      <c r="L5" s="24">
        <v>10</v>
      </c>
      <c r="M5" s="24">
        <v>11</v>
      </c>
      <c r="N5" s="24">
        <v>12</v>
      </c>
      <c r="O5" s="24">
        <v>13</v>
      </c>
      <c r="P5" s="24">
        <v>14</v>
      </c>
      <c r="Q5" s="24">
        <v>15</v>
      </c>
      <c r="R5" s="24">
        <v>16</v>
      </c>
      <c r="S5" s="24">
        <v>17</v>
      </c>
      <c r="T5" s="24">
        <v>18</v>
      </c>
      <c r="U5" s="24">
        <v>19</v>
      </c>
      <c r="V5" s="24">
        <v>20</v>
      </c>
      <c r="W5" s="24">
        <v>21</v>
      </c>
      <c r="X5" s="24">
        <v>22</v>
      </c>
      <c r="Y5" s="24">
        <v>23</v>
      </c>
      <c r="Z5" s="24">
        <v>24</v>
      </c>
      <c r="AA5" s="12">
        <v>25</v>
      </c>
    </row>
    <row r="6" spans="1:27" ht="15.75">
      <c r="A6" s="4"/>
      <c r="B6" s="18"/>
      <c r="C6" s="26" t="s">
        <v>16</v>
      </c>
      <c r="D6" s="26" t="s">
        <v>14</v>
      </c>
      <c r="E6" s="26" t="s">
        <v>13</v>
      </c>
      <c r="F6" s="26" t="s">
        <v>45</v>
      </c>
      <c r="G6" s="26" t="s">
        <v>15</v>
      </c>
      <c r="H6" s="26" t="s">
        <v>17</v>
      </c>
      <c r="I6" s="41" t="s">
        <v>41</v>
      </c>
      <c r="J6" s="41" t="s">
        <v>42</v>
      </c>
      <c r="K6" s="41" t="s">
        <v>43</v>
      </c>
      <c r="L6" s="41" t="s">
        <v>44</v>
      </c>
      <c r="M6" s="41" t="s">
        <v>46</v>
      </c>
      <c r="N6" s="41" t="s">
        <v>48</v>
      </c>
      <c r="O6" s="41" t="s">
        <v>49</v>
      </c>
      <c r="P6" s="41" t="s">
        <v>50</v>
      </c>
      <c r="Q6" s="41" t="s">
        <v>51</v>
      </c>
      <c r="R6" s="41" t="s">
        <v>52</v>
      </c>
      <c r="S6" s="41" t="s">
        <v>63</v>
      </c>
      <c r="T6" s="41" t="s">
        <v>54</v>
      </c>
      <c r="U6" s="41" t="s">
        <v>55</v>
      </c>
      <c r="V6" s="41" t="s">
        <v>56</v>
      </c>
      <c r="W6" s="41" t="s">
        <v>57</v>
      </c>
      <c r="X6" s="41" t="s">
        <v>58</v>
      </c>
      <c r="Y6" s="41" t="s">
        <v>59</v>
      </c>
      <c r="Z6" s="41" t="s">
        <v>60</v>
      </c>
      <c r="AA6" s="54" t="s">
        <v>61</v>
      </c>
    </row>
    <row r="7" spans="1:27" ht="15.75">
      <c r="A7" s="3">
        <v>1</v>
      </c>
      <c r="B7" s="27" t="s">
        <v>16</v>
      </c>
      <c r="C7" s="28">
        <v>0</v>
      </c>
      <c r="D7" s="29">
        <v>459</v>
      </c>
      <c r="E7" s="29">
        <v>1026</v>
      </c>
      <c r="F7" s="29">
        <v>1252</v>
      </c>
      <c r="G7" s="29">
        <v>2201</v>
      </c>
      <c r="H7" s="29">
        <v>2069</v>
      </c>
      <c r="I7" s="42">
        <v>291</v>
      </c>
      <c r="J7" s="42">
        <v>219</v>
      </c>
      <c r="K7" s="43">
        <v>665</v>
      </c>
      <c r="L7" s="43">
        <v>951</v>
      </c>
      <c r="M7" s="42">
        <v>219</v>
      </c>
      <c r="N7" s="43">
        <v>862</v>
      </c>
      <c r="O7" s="29">
        <v>195</v>
      </c>
      <c r="P7" s="43">
        <v>732</v>
      </c>
      <c r="Q7" s="43">
        <v>1147</v>
      </c>
      <c r="R7" s="43">
        <v>689</v>
      </c>
      <c r="S7" s="43">
        <v>1459</v>
      </c>
      <c r="T7" s="43">
        <v>1457</v>
      </c>
      <c r="U7" s="43">
        <v>1824</v>
      </c>
      <c r="V7" s="43">
        <v>2589</v>
      </c>
      <c r="W7" s="43">
        <v>1140</v>
      </c>
      <c r="X7" s="43">
        <v>1299</v>
      </c>
      <c r="Y7" s="43">
        <v>1631</v>
      </c>
      <c r="Z7" s="43">
        <v>2783</v>
      </c>
      <c r="AA7" s="55">
        <v>1690</v>
      </c>
    </row>
    <row r="8" spans="1:27" ht="15.75">
      <c r="A8" s="3">
        <v>2</v>
      </c>
      <c r="B8" s="30" t="s">
        <v>14</v>
      </c>
      <c r="C8" s="31">
        <v>459</v>
      </c>
      <c r="D8" s="32">
        <v>0</v>
      </c>
      <c r="E8" s="32">
        <v>704</v>
      </c>
      <c r="F8" s="32">
        <v>961</v>
      </c>
      <c r="G8" s="32">
        <v>399</v>
      </c>
      <c r="H8" s="32">
        <v>2389</v>
      </c>
      <c r="I8" s="34">
        <v>637</v>
      </c>
      <c r="J8" s="35">
        <v>270</v>
      </c>
      <c r="K8" s="44">
        <v>267</v>
      </c>
      <c r="L8" s="34">
        <v>635</v>
      </c>
      <c r="M8" s="34">
        <v>676</v>
      </c>
      <c r="N8" s="34">
        <v>506</v>
      </c>
      <c r="O8" s="35">
        <v>299</v>
      </c>
      <c r="P8" s="35">
        <v>410</v>
      </c>
      <c r="Q8" s="34">
        <v>824</v>
      </c>
      <c r="R8" s="34">
        <v>761</v>
      </c>
      <c r="S8" s="34">
        <v>1061</v>
      </c>
      <c r="T8" s="34">
        <v>1058</v>
      </c>
      <c r="U8" s="34">
        <v>2211</v>
      </c>
      <c r="V8" s="34">
        <v>2238</v>
      </c>
      <c r="W8" s="34">
        <v>878</v>
      </c>
      <c r="X8" s="34">
        <v>1015</v>
      </c>
      <c r="Y8" s="34">
        <v>1664</v>
      </c>
      <c r="Z8" s="34">
        <v>2431</v>
      </c>
      <c r="AA8" s="56">
        <v>1660</v>
      </c>
    </row>
    <row r="9" spans="1:27" ht="15.75">
      <c r="A9" s="3">
        <v>3</v>
      </c>
      <c r="B9" s="30" t="s">
        <v>13</v>
      </c>
      <c r="C9" s="31">
        <v>1026</v>
      </c>
      <c r="D9" s="32">
        <v>704</v>
      </c>
      <c r="E9" s="32">
        <v>0</v>
      </c>
      <c r="F9" s="32">
        <v>883</v>
      </c>
      <c r="G9" s="32">
        <v>480</v>
      </c>
      <c r="H9" s="32">
        <v>1843</v>
      </c>
      <c r="I9" s="34">
        <v>1422</v>
      </c>
      <c r="J9" s="34">
        <v>953</v>
      </c>
      <c r="K9" s="34">
        <v>550</v>
      </c>
      <c r="L9" s="34">
        <v>848</v>
      </c>
      <c r="M9" s="34">
        <v>762</v>
      </c>
      <c r="N9" s="34">
        <v>619</v>
      </c>
      <c r="O9" s="34">
        <v>945</v>
      </c>
      <c r="P9" s="35">
        <v>332</v>
      </c>
      <c r="Q9" s="34">
        <v>793</v>
      </c>
      <c r="R9" s="35">
        <v>410</v>
      </c>
      <c r="S9" s="35">
        <v>372</v>
      </c>
      <c r="T9" s="49">
        <v>369</v>
      </c>
      <c r="U9" s="34">
        <v>707</v>
      </c>
      <c r="V9" s="34">
        <v>1679</v>
      </c>
      <c r="W9" s="34">
        <v>1146</v>
      </c>
      <c r="X9" s="34">
        <v>1216</v>
      </c>
      <c r="Y9" s="34">
        <v>975</v>
      </c>
      <c r="Z9" s="34">
        <v>1914</v>
      </c>
      <c r="AA9" s="56">
        <v>1927</v>
      </c>
    </row>
    <row r="10" spans="1:27" ht="15.75">
      <c r="A10" s="3">
        <v>4</v>
      </c>
      <c r="B10" s="30" t="s">
        <v>45</v>
      </c>
      <c r="C10" s="31">
        <v>1252</v>
      </c>
      <c r="D10" s="32">
        <v>961</v>
      </c>
      <c r="E10" s="32">
        <v>883</v>
      </c>
      <c r="F10" s="32">
        <v>0</v>
      </c>
      <c r="G10" s="32">
        <v>841</v>
      </c>
      <c r="H10" s="32">
        <v>1340</v>
      </c>
      <c r="I10" s="34">
        <v>1430</v>
      </c>
      <c r="J10" s="34">
        <v>931</v>
      </c>
      <c r="K10" s="34">
        <v>942</v>
      </c>
      <c r="L10" s="35">
        <v>599</v>
      </c>
      <c r="M10" s="34">
        <v>1025</v>
      </c>
      <c r="N10" s="35">
        <v>583</v>
      </c>
      <c r="O10" s="34">
        <v>1057</v>
      </c>
      <c r="P10" s="34">
        <v>872</v>
      </c>
      <c r="Q10" s="34">
        <v>1513</v>
      </c>
      <c r="R10" s="34">
        <v>765</v>
      </c>
      <c r="S10" s="34">
        <v>1667</v>
      </c>
      <c r="T10" s="34">
        <v>1665</v>
      </c>
      <c r="U10" s="34">
        <v>1182</v>
      </c>
      <c r="V10" s="34">
        <v>1209</v>
      </c>
      <c r="W10" s="50">
        <v>130</v>
      </c>
      <c r="X10" s="35">
        <v>292</v>
      </c>
      <c r="Y10" s="34">
        <v>1636</v>
      </c>
      <c r="Z10" s="34">
        <v>1403</v>
      </c>
      <c r="AA10" s="56">
        <v>631</v>
      </c>
    </row>
    <row r="11" spans="1:27" ht="15.75">
      <c r="A11" s="3">
        <v>5</v>
      </c>
      <c r="B11" s="30" t="s">
        <v>15</v>
      </c>
      <c r="C11" s="31">
        <v>2201</v>
      </c>
      <c r="D11" s="32">
        <v>399</v>
      </c>
      <c r="E11" s="32">
        <v>480</v>
      </c>
      <c r="F11" s="32">
        <v>841</v>
      </c>
      <c r="G11" s="32">
        <v>0</v>
      </c>
      <c r="H11" s="32">
        <v>2201</v>
      </c>
      <c r="I11" s="34">
        <v>1132</v>
      </c>
      <c r="J11" s="34">
        <v>644</v>
      </c>
      <c r="K11" s="35">
        <v>247</v>
      </c>
      <c r="L11" s="34">
        <v>389</v>
      </c>
      <c r="M11" s="35">
        <v>303</v>
      </c>
      <c r="N11" s="35">
        <v>139</v>
      </c>
      <c r="O11" s="34">
        <v>655</v>
      </c>
      <c r="P11" s="34">
        <v>525</v>
      </c>
      <c r="Q11" s="34">
        <v>745</v>
      </c>
      <c r="R11" s="47">
        <v>71</v>
      </c>
      <c r="S11" s="34">
        <v>853</v>
      </c>
      <c r="T11" s="34">
        <v>850</v>
      </c>
      <c r="U11" s="34">
        <v>2023</v>
      </c>
      <c r="V11" s="34">
        <v>2050</v>
      </c>
      <c r="W11" s="34">
        <v>691</v>
      </c>
      <c r="X11" s="34">
        <v>761</v>
      </c>
      <c r="Y11" s="34">
        <v>1456</v>
      </c>
      <c r="Z11" s="34">
        <v>2243</v>
      </c>
      <c r="AA11" s="56">
        <v>1472</v>
      </c>
    </row>
    <row r="12" spans="1:27" ht="15.75">
      <c r="A12" s="3">
        <v>6</v>
      </c>
      <c r="B12" s="30" t="s">
        <v>17</v>
      </c>
      <c r="C12" s="31">
        <v>2069</v>
      </c>
      <c r="D12" s="32">
        <v>2389</v>
      </c>
      <c r="E12" s="32">
        <v>1843</v>
      </c>
      <c r="F12" s="32">
        <v>1340</v>
      </c>
      <c r="G12" s="32">
        <v>2201</v>
      </c>
      <c r="H12" s="32">
        <v>0</v>
      </c>
      <c r="I12" s="34">
        <v>2951</v>
      </c>
      <c r="J12" s="34">
        <v>2449</v>
      </c>
      <c r="K12" s="34">
        <v>2302</v>
      </c>
      <c r="L12" s="34">
        <v>1960</v>
      </c>
      <c r="M12" s="34">
        <v>1994</v>
      </c>
      <c r="N12" s="34">
        <v>2111</v>
      </c>
      <c r="O12" s="34">
        <v>2475</v>
      </c>
      <c r="P12" s="34">
        <v>2174</v>
      </c>
      <c r="Q12" s="34">
        <v>2634</v>
      </c>
      <c r="R12" s="34">
        <v>2246</v>
      </c>
      <c r="S12" s="34">
        <v>1471</v>
      </c>
      <c r="T12" s="34">
        <v>1553</v>
      </c>
      <c r="U12" s="34">
        <v>1553</v>
      </c>
      <c r="V12" s="35">
        <v>774</v>
      </c>
      <c r="W12" s="34">
        <v>1518</v>
      </c>
      <c r="X12" s="34">
        <v>1519</v>
      </c>
      <c r="Y12" s="35">
        <v>867</v>
      </c>
      <c r="Z12" s="35">
        <v>968</v>
      </c>
      <c r="AA12" s="57">
        <v>729</v>
      </c>
    </row>
    <row r="13" spans="1:27">
      <c r="A13" s="3">
        <v>7</v>
      </c>
      <c r="B13" s="16" t="s">
        <v>41</v>
      </c>
      <c r="C13" s="33">
        <v>291</v>
      </c>
      <c r="D13" s="34">
        <v>637</v>
      </c>
      <c r="E13" s="34">
        <v>1422</v>
      </c>
      <c r="F13" s="34">
        <v>1430</v>
      </c>
      <c r="G13" s="34">
        <v>1132</v>
      </c>
      <c r="H13" s="34">
        <v>2951</v>
      </c>
      <c r="I13" s="34">
        <v>0</v>
      </c>
      <c r="J13" s="34">
        <v>505</v>
      </c>
      <c r="K13" s="34">
        <v>1000</v>
      </c>
      <c r="L13" s="34">
        <v>1488</v>
      </c>
      <c r="M13" s="34">
        <v>2646</v>
      </c>
      <c r="N13" s="34">
        <v>1271</v>
      </c>
      <c r="O13" s="34">
        <v>478</v>
      </c>
      <c r="P13" s="34">
        <v>608</v>
      </c>
      <c r="Q13" s="34">
        <v>903</v>
      </c>
      <c r="R13" s="34">
        <v>1064</v>
      </c>
      <c r="S13" s="34">
        <v>1795</v>
      </c>
      <c r="T13" s="34">
        <v>1792</v>
      </c>
      <c r="U13" s="34">
        <v>2879</v>
      </c>
      <c r="V13" s="34">
        <v>2924</v>
      </c>
      <c r="W13" s="34">
        <v>1564</v>
      </c>
      <c r="X13" s="34">
        <v>1708</v>
      </c>
      <c r="Y13" s="34">
        <v>2398</v>
      </c>
      <c r="Z13" s="34">
        <v>3118</v>
      </c>
      <c r="AA13" s="56">
        <v>2347</v>
      </c>
    </row>
    <row r="14" spans="1:27">
      <c r="A14" s="3">
        <v>8</v>
      </c>
      <c r="B14" s="16" t="s">
        <v>42</v>
      </c>
      <c r="C14" s="33">
        <v>219</v>
      </c>
      <c r="D14" s="35">
        <v>270</v>
      </c>
      <c r="E14" s="34">
        <v>953</v>
      </c>
      <c r="F14" s="34">
        <v>931</v>
      </c>
      <c r="G14" s="34">
        <v>644</v>
      </c>
      <c r="H14" s="34">
        <v>2449</v>
      </c>
      <c r="I14" s="34">
        <v>505</v>
      </c>
      <c r="J14" s="34">
        <v>0</v>
      </c>
      <c r="K14" s="34">
        <v>531</v>
      </c>
      <c r="L14" s="34">
        <v>998</v>
      </c>
      <c r="M14" s="34">
        <v>913</v>
      </c>
      <c r="N14" s="34">
        <v>783</v>
      </c>
      <c r="O14" s="35">
        <v>27</v>
      </c>
      <c r="P14" s="32">
        <v>138</v>
      </c>
      <c r="Q14" s="34">
        <v>1088</v>
      </c>
      <c r="R14" s="34">
        <v>575</v>
      </c>
      <c r="S14" s="34">
        <v>1325</v>
      </c>
      <c r="T14" s="34">
        <v>1322</v>
      </c>
      <c r="U14" s="34">
        <v>2378</v>
      </c>
      <c r="V14" s="34">
        <v>2434</v>
      </c>
      <c r="W14" s="34">
        <v>1074</v>
      </c>
      <c r="X14" s="34">
        <v>1217</v>
      </c>
      <c r="Y14" s="34">
        <v>1928</v>
      </c>
      <c r="Z14" s="34">
        <v>2628</v>
      </c>
      <c r="AA14" s="56">
        <v>1856</v>
      </c>
    </row>
    <row r="15" spans="1:27">
      <c r="A15" s="3">
        <v>9</v>
      </c>
      <c r="B15" s="16" t="s">
        <v>43</v>
      </c>
      <c r="C15" s="36">
        <v>665</v>
      </c>
      <c r="D15" s="35">
        <v>267</v>
      </c>
      <c r="E15" s="34">
        <v>550</v>
      </c>
      <c r="F15" s="34">
        <v>942</v>
      </c>
      <c r="G15" s="35">
        <v>247</v>
      </c>
      <c r="H15" s="34">
        <v>2302</v>
      </c>
      <c r="I15" s="34">
        <v>1000</v>
      </c>
      <c r="J15" s="34">
        <v>531</v>
      </c>
      <c r="K15" s="34">
        <v>0</v>
      </c>
      <c r="L15" s="34">
        <v>609</v>
      </c>
      <c r="M15" s="45">
        <v>524</v>
      </c>
      <c r="N15" s="35">
        <v>386</v>
      </c>
      <c r="O15" s="34">
        <v>523</v>
      </c>
      <c r="P15" s="35">
        <v>393</v>
      </c>
      <c r="Q15" s="34">
        <v>685</v>
      </c>
      <c r="R15" s="44">
        <v>178</v>
      </c>
      <c r="S15" s="34">
        <v>922</v>
      </c>
      <c r="T15" s="34">
        <v>919</v>
      </c>
      <c r="U15" s="34">
        <v>2124</v>
      </c>
      <c r="V15" s="34">
        <v>2151</v>
      </c>
      <c r="W15" s="34">
        <v>793</v>
      </c>
      <c r="X15" s="34">
        <v>826</v>
      </c>
      <c r="Y15" s="34">
        <v>1525</v>
      </c>
      <c r="Z15" s="34">
        <v>2344</v>
      </c>
      <c r="AA15" s="56">
        <v>1573</v>
      </c>
    </row>
    <row r="16" spans="1:27">
      <c r="A16" s="3">
        <v>10</v>
      </c>
      <c r="B16" s="16" t="s">
        <v>44</v>
      </c>
      <c r="C16" s="36">
        <v>951</v>
      </c>
      <c r="D16" s="34">
        <v>635</v>
      </c>
      <c r="E16" s="34">
        <v>848</v>
      </c>
      <c r="F16" s="35">
        <v>599</v>
      </c>
      <c r="G16" s="34">
        <v>389</v>
      </c>
      <c r="H16" s="34">
        <v>1960</v>
      </c>
      <c r="I16" s="34">
        <v>1488</v>
      </c>
      <c r="J16" s="34">
        <v>998</v>
      </c>
      <c r="K16" s="34">
        <v>609</v>
      </c>
      <c r="L16" s="34">
        <v>0</v>
      </c>
      <c r="M16" s="34">
        <v>1531</v>
      </c>
      <c r="N16" s="34">
        <v>284</v>
      </c>
      <c r="O16" s="34">
        <v>1011</v>
      </c>
      <c r="P16" s="46">
        <v>652</v>
      </c>
      <c r="Q16" s="34">
        <v>1112</v>
      </c>
      <c r="R16" s="34">
        <v>438</v>
      </c>
      <c r="S16" s="34">
        <v>1220</v>
      </c>
      <c r="T16" s="34">
        <v>1217</v>
      </c>
      <c r="U16" s="34">
        <v>1782</v>
      </c>
      <c r="V16" s="34">
        <v>1809</v>
      </c>
      <c r="W16" s="34">
        <v>451</v>
      </c>
      <c r="X16" s="34">
        <v>520</v>
      </c>
      <c r="Y16" s="34">
        <v>1823</v>
      </c>
      <c r="Z16" s="34">
        <v>2002</v>
      </c>
      <c r="AA16" s="56">
        <v>1231</v>
      </c>
    </row>
    <row r="17" spans="1:29">
      <c r="A17" s="3">
        <v>11</v>
      </c>
      <c r="B17" s="16" t="s">
        <v>46</v>
      </c>
      <c r="C17" s="33">
        <v>219</v>
      </c>
      <c r="D17" s="34">
        <v>676</v>
      </c>
      <c r="E17" s="34">
        <v>762</v>
      </c>
      <c r="F17" s="34">
        <v>1025</v>
      </c>
      <c r="G17" s="35">
        <v>303</v>
      </c>
      <c r="H17" s="34">
        <v>1994</v>
      </c>
      <c r="I17" s="34">
        <v>2646</v>
      </c>
      <c r="J17" s="34">
        <v>913</v>
      </c>
      <c r="K17" s="34">
        <v>524</v>
      </c>
      <c r="L17" s="34">
        <v>1531</v>
      </c>
      <c r="M17" s="34">
        <v>0</v>
      </c>
      <c r="N17" s="45">
        <v>214</v>
      </c>
      <c r="O17" s="34">
        <v>925</v>
      </c>
      <c r="P17" s="35">
        <v>567</v>
      </c>
      <c r="Q17" s="34">
        <v>1027</v>
      </c>
      <c r="R17" s="34">
        <v>353</v>
      </c>
      <c r="S17" s="34">
        <v>1135</v>
      </c>
      <c r="T17" s="34">
        <v>1132</v>
      </c>
      <c r="U17" s="34">
        <v>1816</v>
      </c>
      <c r="V17" s="34">
        <v>1843</v>
      </c>
      <c r="W17" s="35">
        <v>485</v>
      </c>
      <c r="X17" s="34">
        <v>554</v>
      </c>
      <c r="Y17" s="34">
        <v>1738</v>
      </c>
      <c r="Z17" s="34">
        <v>2037</v>
      </c>
      <c r="AA17" s="56">
        <v>1265</v>
      </c>
    </row>
    <row r="18" spans="1:29">
      <c r="A18" s="3">
        <v>12</v>
      </c>
      <c r="B18" s="16" t="s">
        <v>48</v>
      </c>
      <c r="C18" s="36">
        <v>862</v>
      </c>
      <c r="D18" s="34">
        <v>506</v>
      </c>
      <c r="E18" s="34">
        <v>619</v>
      </c>
      <c r="F18" s="35">
        <v>583</v>
      </c>
      <c r="G18" s="35">
        <v>139</v>
      </c>
      <c r="H18" s="34">
        <v>2111</v>
      </c>
      <c r="I18" s="34">
        <v>1271</v>
      </c>
      <c r="J18" s="34">
        <v>783</v>
      </c>
      <c r="K18" s="35">
        <v>386</v>
      </c>
      <c r="L18" s="34">
        <v>284</v>
      </c>
      <c r="M18" s="44">
        <v>214</v>
      </c>
      <c r="N18" s="34">
        <v>0</v>
      </c>
      <c r="O18" s="34">
        <v>794</v>
      </c>
      <c r="P18" s="35">
        <v>424</v>
      </c>
      <c r="Q18" s="34">
        <v>884</v>
      </c>
      <c r="R18" s="35">
        <v>210</v>
      </c>
      <c r="S18" s="34">
        <v>991</v>
      </c>
      <c r="T18" s="34">
        <v>989</v>
      </c>
      <c r="U18" s="34">
        <v>1933</v>
      </c>
      <c r="V18" s="34">
        <v>1960</v>
      </c>
      <c r="W18" s="34">
        <v>602</v>
      </c>
      <c r="X18" s="34">
        <v>671</v>
      </c>
      <c r="Y18" s="34">
        <v>1595</v>
      </c>
      <c r="Z18" s="34">
        <v>2153</v>
      </c>
      <c r="AA18" s="56">
        <v>1382</v>
      </c>
    </row>
    <row r="19" spans="1:29">
      <c r="A19" s="3">
        <v>13</v>
      </c>
      <c r="B19" s="16" t="s">
        <v>49</v>
      </c>
      <c r="C19" s="33">
        <v>195</v>
      </c>
      <c r="D19" s="35">
        <v>299</v>
      </c>
      <c r="E19" s="34">
        <v>945</v>
      </c>
      <c r="F19" s="34">
        <v>1057</v>
      </c>
      <c r="G19" s="34">
        <v>655</v>
      </c>
      <c r="H19" s="34">
        <v>2475</v>
      </c>
      <c r="I19" s="34">
        <v>478</v>
      </c>
      <c r="J19" s="32">
        <v>27</v>
      </c>
      <c r="K19" s="34">
        <v>523</v>
      </c>
      <c r="L19" s="34">
        <v>1011</v>
      </c>
      <c r="M19" s="34">
        <v>925</v>
      </c>
      <c r="N19" s="34">
        <v>794</v>
      </c>
      <c r="O19" s="34">
        <v>0</v>
      </c>
      <c r="P19" s="34">
        <v>660</v>
      </c>
      <c r="Q19" s="34">
        <v>1080</v>
      </c>
      <c r="R19" s="34">
        <v>586</v>
      </c>
      <c r="S19" s="34">
        <v>1317</v>
      </c>
      <c r="T19" s="34">
        <v>1314</v>
      </c>
      <c r="U19" s="34">
        <v>2404</v>
      </c>
      <c r="V19" s="34">
        <v>2447</v>
      </c>
      <c r="W19" s="34">
        <v>1087</v>
      </c>
      <c r="X19" s="34">
        <v>1230</v>
      </c>
      <c r="Y19" s="34">
        <v>1920</v>
      </c>
      <c r="Z19" s="34">
        <v>2640</v>
      </c>
      <c r="AA19" s="56">
        <v>1869</v>
      </c>
    </row>
    <row r="20" spans="1:29">
      <c r="A20" s="3">
        <v>14</v>
      </c>
      <c r="B20" s="16" t="s">
        <v>50</v>
      </c>
      <c r="C20" s="36">
        <v>732</v>
      </c>
      <c r="D20" s="35">
        <v>410</v>
      </c>
      <c r="E20" s="35">
        <v>332</v>
      </c>
      <c r="F20" s="34">
        <v>872</v>
      </c>
      <c r="G20" s="34">
        <v>525</v>
      </c>
      <c r="H20" s="34">
        <v>2174</v>
      </c>
      <c r="I20" s="32">
        <v>608</v>
      </c>
      <c r="J20" s="35">
        <v>138</v>
      </c>
      <c r="K20" s="35">
        <v>393</v>
      </c>
      <c r="L20" s="34">
        <v>652</v>
      </c>
      <c r="M20" s="34">
        <v>567</v>
      </c>
      <c r="N20" s="35">
        <v>424</v>
      </c>
      <c r="O20" s="34">
        <v>660</v>
      </c>
      <c r="P20" s="34">
        <v>0</v>
      </c>
      <c r="Q20" s="34">
        <v>507</v>
      </c>
      <c r="R20" s="35">
        <v>214</v>
      </c>
      <c r="S20" s="34">
        <v>1187</v>
      </c>
      <c r="T20" s="34">
        <v>701</v>
      </c>
      <c r="U20" s="34">
        <v>2039</v>
      </c>
      <c r="V20" s="34">
        <v>2011</v>
      </c>
      <c r="W20" s="34">
        <v>943</v>
      </c>
      <c r="X20" s="34">
        <v>1012</v>
      </c>
      <c r="Y20" s="34">
        <v>1307</v>
      </c>
      <c r="Z20" s="34">
        <v>2246</v>
      </c>
      <c r="AA20" s="56">
        <v>1723</v>
      </c>
      <c r="AC20" t="s">
        <v>64</v>
      </c>
    </row>
    <row r="21" spans="1:29">
      <c r="A21" s="3">
        <v>15</v>
      </c>
      <c r="B21" s="16" t="s">
        <v>51</v>
      </c>
      <c r="C21" s="36">
        <v>1147</v>
      </c>
      <c r="D21" s="34">
        <v>824</v>
      </c>
      <c r="E21" s="34">
        <v>793</v>
      </c>
      <c r="F21" s="34">
        <v>1513</v>
      </c>
      <c r="G21" s="34">
        <v>745</v>
      </c>
      <c r="H21" s="34">
        <v>2634</v>
      </c>
      <c r="I21" s="34">
        <v>903</v>
      </c>
      <c r="J21" s="34">
        <v>1088</v>
      </c>
      <c r="K21" s="34">
        <v>685</v>
      </c>
      <c r="L21" s="34">
        <v>1112</v>
      </c>
      <c r="M21" s="34">
        <v>1027</v>
      </c>
      <c r="N21" s="34">
        <v>884</v>
      </c>
      <c r="O21" s="34">
        <v>1080</v>
      </c>
      <c r="P21" s="34">
        <v>507</v>
      </c>
      <c r="Q21" s="34">
        <v>0</v>
      </c>
      <c r="R21" s="34">
        <v>674</v>
      </c>
      <c r="S21" s="34">
        <v>1165</v>
      </c>
      <c r="T21" s="34">
        <v>1162</v>
      </c>
      <c r="U21" s="34">
        <v>2499</v>
      </c>
      <c r="V21" s="34">
        <v>2471</v>
      </c>
      <c r="W21" s="34">
        <v>1363</v>
      </c>
      <c r="X21" s="34">
        <v>1433</v>
      </c>
      <c r="Y21" s="34">
        <v>1768</v>
      </c>
      <c r="Z21" s="34">
        <v>2707</v>
      </c>
      <c r="AA21" s="56">
        <v>2144</v>
      </c>
    </row>
    <row r="22" spans="1:29">
      <c r="A22" s="3">
        <v>16</v>
      </c>
      <c r="B22" s="16" t="s">
        <v>52</v>
      </c>
      <c r="C22" s="36">
        <v>689</v>
      </c>
      <c r="D22" s="34">
        <v>761</v>
      </c>
      <c r="E22" s="35">
        <v>410</v>
      </c>
      <c r="F22" s="34">
        <v>765</v>
      </c>
      <c r="G22" s="35">
        <v>71</v>
      </c>
      <c r="H22" s="34">
        <v>2246</v>
      </c>
      <c r="I22" s="34">
        <v>1064</v>
      </c>
      <c r="J22" s="34">
        <v>575</v>
      </c>
      <c r="K22" s="47">
        <v>178</v>
      </c>
      <c r="L22" s="35">
        <v>438</v>
      </c>
      <c r="M22" s="34">
        <v>353</v>
      </c>
      <c r="N22" s="44">
        <v>210</v>
      </c>
      <c r="O22" s="48">
        <v>586</v>
      </c>
      <c r="P22" s="35">
        <v>214</v>
      </c>
      <c r="Q22" s="34">
        <v>674</v>
      </c>
      <c r="R22" s="34">
        <v>0</v>
      </c>
      <c r="S22" s="34">
        <v>782</v>
      </c>
      <c r="T22" s="34">
        <v>779</v>
      </c>
      <c r="U22" s="34">
        <v>2068</v>
      </c>
      <c r="V22" s="34">
        <v>2095</v>
      </c>
      <c r="W22" s="34">
        <v>736</v>
      </c>
      <c r="X22" s="34">
        <v>806</v>
      </c>
      <c r="Y22" s="34">
        <v>1385</v>
      </c>
      <c r="Z22" s="34">
        <v>2288</v>
      </c>
      <c r="AA22" s="56">
        <v>1517</v>
      </c>
    </row>
    <row r="23" spans="1:29">
      <c r="A23" s="3">
        <v>17</v>
      </c>
      <c r="B23" s="16" t="s">
        <v>63</v>
      </c>
      <c r="C23" s="36">
        <v>1459</v>
      </c>
      <c r="D23" s="34">
        <v>1061</v>
      </c>
      <c r="E23" s="35">
        <v>372</v>
      </c>
      <c r="F23" s="34">
        <v>1667</v>
      </c>
      <c r="G23" s="34">
        <v>853</v>
      </c>
      <c r="H23" s="34">
        <v>1471</v>
      </c>
      <c r="I23" s="34">
        <v>1795</v>
      </c>
      <c r="J23" s="34">
        <v>1325</v>
      </c>
      <c r="K23" s="34">
        <v>922</v>
      </c>
      <c r="L23" s="34">
        <v>1220</v>
      </c>
      <c r="M23" s="34">
        <v>1135</v>
      </c>
      <c r="N23" s="34">
        <v>991</v>
      </c>
      <c r="O23" s="34">
        <v>1317</v>
      </c>
      <c r="P23" s="34">
        <v>1187</v>
      </c>
      <c r="Q23" s="34">
        <v>1165</v>
      </c>
      <c r="R23" s="34">
        <v>782</v>
      </c>
      <c r="S23" s="34">
        <v>0</v>
      </c>
      <c r="T23" s="35">
        <v>95</v>
      </c>
      <c r="U23" s="34">
        <v>1335</v>
      </c>
      <c r="V23" s="34">
        <v>1306</v>
      </c>
      <c r="W23" s="34">
        <v>1518</v>
      </c>
      <c r="X23" s="34">
        <v>1588</v>
      </c>
      <c r="Y23" s="49">
        <v>603</v>
      </c>
      <c r="Z23" s="34">
        <v>1542</v>
      </c>
      <c r="AA23" s="56">
        <v>1608</v>
      </c>
    </row>
    <row r="24" spans="1:29">
      <c r="A24" s="3">
        <v>18</v>
      </c>
      <c r="B24" s="16" t="s">
        <v>54</v>
      </c>
      <c r="C24" s="36">
        <v>1457</v>
      </c>
      <c r="D24" s="34">
        <v>1058</v>
      </c>
      <c r="E24" s="35">
        <v>369</v>
      </c>
      <c r="F24" s="34">
        <v>1665</v>
      </c>
      <c r="G24" s="34">
        <v>850</v>
      </c>
      <c r="H24" s="34">
        <v>1553</v>
      </c>
      <c r="I24" s="34">
        <v>1792</v>
      </c>
      <c r="J24" s="34">
        <v>1322</v>
      </c>
      <c r="K24" s="34">
        <v>919</v>
      </c>
      <c r="L24" s="34">
        <v>1217</v>
      </c>
      <c r="M24" s="34">
        <v>1132</v>
      </c>
      <c r="N24" s="34">
        <v>989</v>
      </c>
      <c r="O24" s="34">
        <v>1314</v>
      </c>
      <c r="P24" s="34">
        <v>701</v>
      </c>
      <c r="Q24" s="34">
        <v>1162</v>
      </c>
      <c r="R24" s="34">
        <v>779</v>
      </c>
      <c r="S24" s="49">
        <v>95</v>
      </c>
      <c r="T24" s="34">
        <v>0</v>
      </c>
      <c r="U24" s="34">
        <v>1418</v>
      </c>
      <c r="V24" s="34">
        <v>1390</v>
      </c>
      <c r="W24" s="34">
        <v>1515</v>
      </c>
      <c r="X24" s="34">
        <v>1585</v>
      </c>
      <c r="Y24" s="34">
        <v>687</v>
      </c>
      <c r="Z24" s="34">
        <v>1626</v>
      </c>
      <c r="AA24" s="56">
        <v>1691</v>
      </c>
    </row>
    <row r="25" spans="1:29">
      <c r="A25" s="3">
        <v>19</v>
      </c>
      <c r="B25" s="16" t="s">
        <v>55</v>
      </c>
      <c r="C25" s="36">
        <v>1824</v>
      </c>
      <c r="D25" s="34">
        <v>2211</v>
      </c>
      <c r="E25" s="34">
        <v>707</v>
      </c>
      <c r="F25" s="34">
        <v>1182</v>
      </c>
      <c r="G25" s="34">
        <v>2023</v>
      </c>
      <c r="H25" s="34">
        <v>1553</v>
      </c>
      <c r="I25" s="34">
        <v>2879</v>
      </c>
      <c r="J25" s="34">
        <v>2378</v>
      </c>
      <c r="K25" s="34">
        <v>2124</v>
      </c>
      <c r="L25" s="34">
        <v>1782</v>
      </c>
      <c r="M25" s="34">
        <v>1816</v>
      </c>
      <c r="N25" s="34">
        <v>1933</v>
      </c>
      <c r="O25" s="34">
        <v>2404</v>
      </c>
      <c r="P25" s="34">
        <v>2039</v>
      </c>
      <c r="Q25" s="34">
        <v>2499</v>
      </c>
      <c r="R25" s="34">
        <v>2068</v>
      </c>
      <c r="S25" s="34">
        <v>1335</v>
      </c>
      <c r="T25" s="34">
        <v>1418</v>
      </c>
      <c r="U25" s="34">
        <v>0</v>
      </c>
      <c r="V25" s="51">
        <v>580</v>
      </c>
      <c r="W25" s="34">
        <v>1340</v>
      </c>
      <c r="X25" s="34">
        <v>1341</v>
      </c>
      <c r="Y25" s="34">
        <v>731</v>
      </c>
      <c r="Z25" s="35">
        <v>774</v>
      </c>
      <c r="AA25" s="58">
        <v>551</v>
      </c>
    </row>
    <row r="26" spans="1:29">
      <c r="A26" s="3">
        <v>20</v>
      </c>
      <c r="B26" s="16" t="s">
        <v>56</v>
      </c>
      <c r="C26" s="36">
        <v>2589</v>
      </c>
      <c r="D26" s="34">
        <v>2238</v>
      </c>
      <c r="E26" s="34">
        <v>1679</v>
      </c>
      <c r="F26" s="34">
        <v>1209</v>
      </c>
      <c r="G26" s="34">
        <v>2050</v>
      </c>
      <c r="H26" s="35">
        <v>774</v>
      </c>
      <c r="I26" s="34">
        <v>2924</v>
      </c>
      <c r="J26" s="34">
        <v>2434</v>
      </c>
      <c r="K26" s="34">
        <v>2151</v>
      </c>
      <c r="L26" s="34">
        <v>1809</v>
      </c>
      <c r="M26" s="34">
        <v>1843</v>
      </c>
      <c r="N26" s="34">
        <v>1960</v>
      </c>
      <c r="O26" s="34">
        <v>2447</v>
      </c>
      <c r="P26" s="34">
        <v>2011</v>
      </c>
      <c r="Q26" s="34">
        <v>2471</v>
      </c>
      <c r="R26" s="34">
        <v>2095</v>
      </c>
      <c r="S26" s="34">
        <v>1306</v>
      </c>
      <c r="T26" s="34">
        <v>1390</v>
      </c>
      <c r="U26" s="34">
        <v>580</v>
      </c>
      <c r="V26" s="34">
        <v>0</v>
      </c>
      <c r="W26" s="34">
        <v>1367</v>
      </c>
      <c r="X26" s="34">
        <v>1368</v>
      </c>
      <c r="Y26" s="35">
        <v>704</v>
      </c>
      <c r="Z26" s="51">
        <v>338</v>
      </c>
      <c r="AA26" s="58">
        <v>578</v>
      </c>
    </row>
    <row r="27" spans="1:29">
      <c r="A27" s="3">
        <v>21</v>
      </c>
      <c r="B27" s="16" t="s">
        <v>65</v>
      </c>
      <c r="C27" s="36">
        <v>1140</v>
      </c>
      <c r="D27" s="34">
        <v>878</v>
      </c>
      <c r="E27" s="34">
        <v>1146</v>
      </c>
      <c r="F27" s="35">
        <v>130</v>
      </c>
      <c r="G27" s="34">
        <v>691</v>
      </c>
      <c r="H27" s="34">
        <v>1518</v>
      </c>
      <c r="I27" s="34">
        <v>1564</v>
      </c>
      <c r="J27" s="34">
        <v>1074</v>
      </c>
      <c r="K27" s="34">
        <v>793</v>
      </c>
      <c r="L27" s="34">
        <v>451</v>
      </c>
      <c r="M27" s="34">
        <v>485</v>
      </c>
      <c r="N27" s="34">
        <v>602</v>
      </c>
      <c r="O27" s="34">
        <v>1087</v>
      </c>
      <c r="P27" s="34">
        <v>943</v>
      </c>
      <c r="Q27" s="34">
        <v>1363</v>
      </c>
      <c r="R27" s="34">
        <v>736</v>
      </c>
      <c r="S27" s="34">
        <v>1518</v>
      </c>
      <c r="T27" s="34">
        <v>1515</v>
      </c>
      <c r="U27" s="34">
        <v>1340</v>
      </c>
      <c r="V27" s="34">
        <v>1367</v>
      </c>
      <c r="W27" s="34">
        <v>0</v>
      </c>
      <c r="X27" s="52">
        <v>274</v>
      </c>
      <c r="Y27" s="34">
        <v>1794</v>
      </c>
      <c r="Z27" s="34">
        <v>1561</v>
      </c>
      <c r="AA27" s="56">
        <v>789</v>
      </c>
    </row>
    <row r="28" spans="1:29">
      <c r="A28" s="3">
        <v>22</v>
      </c>
      <c r="B28" s="16" t="s">
        <v>58</v>
      </c>
      <c r="C28" s="36">
        <v>1299</v>
      </c>
      <c r="D28" s="34">
        <v>1015</v>
      </c>
      <c r="E28" s="34">
        <v>1216</v>
      </c>
      <c r="F28" s="35">
        <v>292</v>
      </c>
      <c r="G28" s="34">
        <v>761</v>
      </c>
      <c r="H28" s="34">
        <v>1519</v>
      </c>
      <c r="I28" s="34">
        <v>1708</v>
      </c>
      <c r="J28" s="34">
        <v>1217</v>
      </c>
      <c r="K28" s="34">
        <v>826</v>
      </c>
      <c r="L28" s="46">
        <v>520</v>
      </c>
      <c r="M28" s="34">
        <v>554</v>
      </c>
      <c r="N28" s="34">
        <v>671</v>
      </c>
      <c r="O28" s="34">
        <v>1230</v>
      </c>
      <c r="P28" s="34">
        <v>1012</v>
      </c>
      <c r="Q28" s="34">
        <v>1433</v>
      </c>
      <c r="R28" s="34">
        <v>806</v>
      </c>
      <c r="S28" s="34">
        <v>1588</v>
      </c>
      <c r="T28" s="34">
        <v>1585</v>
      </c>
      <c r="U28" s="34">
        <v>1341</v>
      </c>
      <c r="V28" s="34">
        <v>1368</v>
      </c>
      <c r="W28" s="34">
        <v>274</v>
      </c>
      <c r="X28" s="34">
        <v>0</v>
      </c>
      <c r="Y28" s="34">
        <v>1794</v>
      </c>
      <c r="Z28" s="34">
        <v>1561</v>
      </c>
      <c r="AA28" s="56">
        <v>790</v>
      </c>
    </row>
    <row r="29" spans="1:29">
      <c r="A29" s="3">
        <v>23</v>
      </c>
      <c r="B29" s="16" t="s">
        <v>59</v>
      </c>
      <c r="C29" s="36">
        <v>1631</v>
      </c>
      <c r="D29" s="34">
        <v>1664</v>
      </c>
      <c r="E29" s="34">
        <v>975</v>
      </c>
      <c r="F29" s="34">
        <v>1636</v>
      </c>
      <c r="G29" s="34">
        <v>1456</v>
      </c>
      <c r="H29" s="35">
        <v>867</v>
      </c>
      <c r="I29" s="34">
        <v>2398</v>
      </c>
      <c r="J29" s="34">
        <v>1928</v>
      </c>
      <c r="K29" s="34">
        <v>1525</v>
      </c>
      <c r="L29" s="34">
        <v>1823</v>
      </c>
      <c r="M29" s="34">
        <v>1738</v>
      </c>
      <c r="N29" s="34">
        <v>1595</v>
      </c>
      <c r="O29" s="34">
        <v>1920</v>
      </c>
      <c r="P29" s="34">
        <v>1307</v>
      </c>
      <c r="Q29" s="34">
        <v>1768</v>
      </c>
      <c r="R29" s="34">
        <v>1385</v>
      </c>
      <c r="S29" s="35">
        <v>603</v>
      </c>
      <c r="T29" s="34">
        <v>687</v>
      </c>
      <c r="U29" s="34">
        <v>731</v>
      </c>
      <c r="V29" s="49">
        <v>704</v>
      </c>
      <c r="W29" s="34">
        <v>1794</v>
      </c>
      <c r="X29" s="34">
        <v>1794</v>
      </c>
      <c r="Y29" s="34">
        <v>0</v>
      </c>
      <c r="Z29" s="34">
        <v>939</v>
      </c>
      <c r="AA29" s="56">
        <v>1005</v>
      </c>
    </row>
    <row r="30" spans="1:29">
      <c r="A30" s="3">
        <v>24</v>
      </c>
      <c r="B30" s="16" t="s">
        <v>60</v>
      </c>
      <c r="C30" s="36">
        <v>2783</v>
      </c>
      <c r="D30" s="34">
        <v>2431</v>
      </c>
      <c r="E30" s="34">
        <v>1914</v>
      </c>
      <c r="F30" s="34">
        <v>1403</v>
      </c>
      <c r="G30" s="34">
        <v>2243</v>
      </c>
      <c r="H30" s="35">
        <v>968</v>
      </c>
      <c r="I30" s="34">
        <v>3118</v>
      </c>
      <c r="J30" s="34">
        <v>2628</v>
      </c>
      <c r="K30" s="34">
        <v>2344</v>
      </c>
      <c r="L30" s="34">
        <v>2002</v>
      </c>
      <c r="M30" s="34">
        <v>2037</v>
      </c>
      <c r="N30" s="34">
        <v>2153</v>
      </c>
      <c r="O30" s="34">
        <v>2640</v>
      </c>
      <c r="P30" s="34">
        <v>2246</v>
      </c>
      <c r="Q30" s="34">
        <v>2707</v>
      </c>
      <c r="R30" s="34">
        <v>2288</v>
      </c>
      <c r="S30" s="34">
        <v>1542</v>
      </c>
      <c r="T30" s="34">
        <v>1626</v>
      </c>
      <c r="U30" s="35">
        <v>774</v>
      </c>
      <c r="V30" s="34">
        <v>338</v>
      </c>
      <c r="W30" s="34">
        <v>1561</v>
      </c>
      <c r="X30" s="34">
        <v>1561</v>
      </c>
      <c r="Y30" s="34">
        <v>939</v>
      </c>
      <c r="Z30" s="34">
        <v>0</v>
      </c>
      <c r="AA30" s="56">
        <v>771</v>
      </c>
    </row>
    <row r="31" spans="1:29">
      <c r="A31" s="4">
        <v>25</v>
      </c>
      <c r="B31" s="18" t="s">
        <v>61</v>
      </c>
      <c r="C31" s="37">
        <v>1690</v>
      </c>
      <c r="D31" s="38">
        <v>1660</v>
      </c>
      <c r="E31" s="38">
        <v>1927</v>
      </c>
      <c r="F31" s="38">
        <v>631</v>
      </c>
      <c r="G31" s="38">
        <v>1472</v>
      </c>
      <c r="H31" s="39">
        <v>729</v>
      </c>
      <c r="I31" s="38">
        <v>2347</v>
      </c>
      <c r="J31" s="38">
        <v>1856</v>
      </c>
      <c r="K31" s="38">
        <v>1573</v>
      </c>
      <c r="L31" s="38">
        <v>1231</v>
      </c>
      <c r="M31" s="38">
        <v>1265</v>
      </c>
      <c r="N31" s="38">
        <v>1382</v>
      </c>
      <c r="O31" s="38">
        <v>1869</v>
      </c>
      <c r="P31" s="38">
        <v>1723</v>
      </c>
      <c r="Q31" s="38">
        <v>2144</v>
      </c>
      <c r="R31" s="38">
        <v>1517</v>
      </c>
      <c r="S31" s="38">
        <v>1608</v>
      </c>
      <c r="T31" s="38">
        <v>1691</v>
      </c>
      <c r="U31" s="53">
        <v>551</v>
      </c>
      <c r="V31" s="39">
        <v>578</v>
      </c>
      <c r="W31" s="38">
        <v>789</v>
      </c>
      <c r="X31" s="38">
        <v>790</v>
      </c>
      <c r="Y31" s="38">
        <v>1005</v>
      </c>
      <c r="Z31" s="38">
        <v>771</v>
      </c>
      <c r="AA31" s="59">
        <v>0</v>
      </c>
    </row>
    <row r="32" spans="1:29">
      <c r="A32" s="3"/>
    </row>
    <row r="33" spans="1:27">
      <c r="A33" s="3"/>
    </row>
    <row r="34" spans="1:27">
      <c r="A34" s="3"/>
    </row>
    <row r="35" spans="1:27">
      <c r="A35" s="3"/>
    </row>
    <row r="36" spans="1:27" ht="18.75">
      <c r="A36" s="3"/>
      <c r="C36" s="168" t="s">
        <v>66</v>
      </c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</row>
    <row r="37" spans="1:27">
      <c r="A37" s="3"/>
    </row>
    <row r="38" spans="1:27" ht="24" customHeight="1">
      <c r="A38" s="3"/>
      <c r="B38" s="19"/>
      <c r="C38" s="22" t="s">
        <v>16</v>
      </c>
      <c r="D38" s="22" t="s">
        <v>14</v>
      </c>
      <c r="E38" s="22" t="s">
        <v>13</v>
      </c>
      <c r="F38" s="22" t="s">
        <v>45</v>
      </c>
      <c r="G38" s="22" t="s">
        <v>15</v>
      </c>
      <c r="H38" s="22" t="s">
        <v>17</v>
      </c>
      <c r="I38" s="24" t="s">
        <v>41</v>
      </c>
      <c r="J38" s="24" t="s">
        <v>42</v>
      </c>
      <c r="K38" s="24" t="s">
        <v>43</v>
      </c>
      <c r="L38" s="24" t="s">
        <v>44</v>
      </c>
      <c r="M38" s="24" t="s">
        <v>46</v>
      </c>
      <c r="N38" s="24" t="s">
        <v>48</v>
      </c>
      <c r="O38" s="24" t="s">
        <v>49</v>
      </c>
      <c r="P38" s="24" t="s">
        <v>50</v>
      </c>
      <c r="Q38" s="24" t="s">
        <v>51</v>
      </c>
      <c r="R38" s="24" t="s">
        <v>52</v>
      </c>
      <c r="S38" s="25" t="s">
        <v>63</v>
      </c>
      <c r="T38" s="24" t="s">
        <v>54</v>
      </c>
      <c r="U38" s="24" t="s">
        <v>55</v>
      </c>
      <c r="V38" s="24" t="s">
        <v>56</v>
      </c>
      <c r="W38" s="24" t="s">
        <v>57</v>
      </c>
      <c r="X38" s="24" t="s">
        <v>58</v>
      </c>
      <c r="Y38" s="24" t="s">
        <v>59</v>
      </c>
      <c r="Z38" s="24" t="s">
        <v>60</v>
      </c>
      <c r="AA38" s="12" t="s">
        <v>61</v>
      </c>
    </row>
    <row r="39" spans="1:27" ht="15.75">
      <c r="A39" s="3">
        <v>1</v>
      </c>
      <c r="B39" s="23" t="s">
        <v>16</v>
      </c>
      <c r="C39" s="107">
        <v>0</v>
      </c>
      <c r="D39" s="108">
        <v>1.9</v>
      </c>
      <c r="E39" s="108">
        <v>4.3</v>
      </c>
      <c r="F39" s="108">
        <v>5.2</v>
      </c>
      <c r="G39" s="108">
        <v>9.1999999999999993</v>
      </c>
      <c r="H39" s="108">
        <v>8.6</v>
      </c>
      <c r="I39" s="2">
        <v>1.2</v>
      </c>
      <c r="J39" s="2">
        <v>0.9</v>
      </c>
      <c r="K39" s="2">
        <v>2.5</v>
      </c>
      <c r="L39" s="2">
        <v>4</v>
      </c>
      <c r="M39" s="2">
        <v>0.9</v>
      </c>
      <c r="N39" s="2">
        <v>3.6</v>
      </c>
      <c r="O39" s="2">
        <v>0.85</v>
      </c>
      <c r="P39" s="2">
        <v>3</v>
      </c>
      <c r="Q39" s="2">
        <v>4.8</v>
      </c>
      <c r="R39" s="2">
        <v>2.9</v>
      </c>
      <c r="S39" s="2">
        <v>6.1</v>
      </c>
      <c r="T39" s="2">
        <v>6</v>
      </c>
      <c r="U39" s="2">
        <v>7.6</v>
      </c>
      <c r="V39" s="2">
        <v>10.8</v>
      </c>
      <c r="W39" s="2">
        <v>4.8</v>
      </c>
      <c r="X39" s="2">
        <v>5.4</v>
      </c>
      <c r="Y39" s="2">
        <v>6.8</v>
      </c>
      <c r="Z39" s="2">
        <v>11.6</v>
      </c>
      <c r="AA39" s="6">
        <v>7</v>
      </c>
    </row>
    <row r="40" spans="1:27" ht="15.75">
      <c r="A40" s="3">
        <v>2</v>
      </c>
      <c r="B40" s="23" t="s">
        <v>14</v>
      </c>
      <c r="C40" s="109">
        <v>1.9</v>
      </c>
      <c r="D40" s="110">
        <v>0</v>
      </c>
      <c r="E40" s="20">
        <v>2.9</v>
      </c>
      <c r="F40" s="20">
        <v>4.3</v>
      </c>
      <c r="G40" s="20">
        <v>1.7</v>
      </c>
      <c r="H40" s="20">
        <v>10</v>
      </c>
      <c r="I40">
        <v>3.1</v>
      </c>
      <c r="J40">
        <v>1.1000000000000001</v>
      </c>
      <c r="K40">
        <v>1.1000000000000001</v>
      </c>
      <c r="L40">
        <v>3.2</v>
      </c>
      <c r="M40">
        <v>2.8</v>
      </c>
      <c r="N40">
        <v>2.2000000000000002</v>
      </c>
      <c r="O40">
        <v>1.1000000000000001</v>
      </c>
      <c r="P40">
        <v>1.7</v>
      </c>
      <c r="Q40">
        <v>3.4</v>
      </c>
      <c r="R40">
        <v>1.4</v>
      </c>
      <c r="S40">
        <v>4.4000000000000004</v>
      </c>
      <c r="T40">
        <v>4.4000000000000004</v>
      </c>
      <c r="U40">
        <v>9.1999999999999993</v>
      </c>
      <c r="V40">
        <v>9.3000000000000007</v>
      </c>
      <c r="W40">
        <v>3.7</v>
      </c>
      <c r="X40">
        <v>4.2</v>
      </c>
      <c r="Y40">
        <v>6.9</v>
      </c>
      <c r="Z40">
        <v>10.1</v>
      </c>
      <c r="AA40" s="7">
        <v>6.9</v>
      </c>
    </row>
    <row r="41" spans="1:27" ht="15.75">
      <c r="A41" s="3">
        <v>3</v>
      </c>
      <c r="B41" s="23" t="s">
        <v>13</v>
      </c>
      <c r="C41" s="109">
        <v>4.3</v>
      </c>
      <c r="D41" s="20">
        <v>2.9</v>
      </c>
      <c r="E41" s="110">
        <v>0</v>
      </c>
      <c r="F41" s="20">
        <v>5.4</v>
      </c>
      <c r="G41" s="20">
        <v>2</v>
      </c>
      <c r="H41" s="20">
        <v>7.7</v>
      </c>
      <c r="I41">
        <v>5.9</v>
      </c>
      <c r="J41">
        <v>4</v>
      </c>
      <c r="K41">
        <v>2.2999999999999998</v>
      </c>
      <c r="L41">
        <v>3.5</v>
      </c>
      <c r="M41">
        <v>3.2</v>
      </c>
      <c r="N41">
        <v>2.6</v>
      </c>
      <c r="O41">
        <v>3.9</v>
      </c>
      <c r="P41">
        <v>1.4</v>
      </c>
      <c r="Q41">
        <v>3.3</v>
      </c>
      <c r="R41">
        <v>1.7</v>
      </c>
      <c r="S41">
        <v>1.6</v>
      </c>
      <c r="T41">
        <v>1.5</v>
      </c>
      <c r="U41">
        <v>7.1</v>
      </c>
      <c r="V41">
        <v>7</v>
      </c>
      <c r="W41">
        <v>4.8</v>
      </c>
      <c r="X41">
        <v>5.0999999999999996</v>
      </c>
      <c r="Y41">
        <v>4.0999999999999996</v>
      </c>
      <c r="Z41">
        <v>8</v>
      </c>
      <c r="AA41" s="7">
        <v>8</v>
      </c>
    </row>
    <row r="42" spans="1:27" ht="15.75">
      <c r="A42" s="3">
        <v>4</v>
      </c>
      <c r="B42" s="23" t="s">
        <v>45</v>
      </c>
      <c r="C42" s="109">
        <v>5.2</v>
      </c>
      <c r="D42" s="20">
        <v>4.3</v>
      </c>
      <c r="E42" s="20">
        <v>5.4</v>
      </c>
      <c r="F42" s="110">
        <v>0</v>
      </c>
      <c r="G42" s="20">
        <v>3.5</v>
      </c>
      <c r="H42" s="20">
        <v>5.7</v>
      </c>
      <c r="I42">
        <v>7.1</v>
      </c>
      <c r="J42">
        <v>5.0999999999999996</v>
      </c>
      <c r="K42">
        <v>3.9</v>
      </c>
      <c r="L42">
        <v>2.5</v>
      </c>
      <c r="M42">
        <v>3.9</v>
      </c>
      <c r="N42">
        <v>3.1</v>
      </c>
      <c r="O42">
        <v>5.2</v>
      </c>
      <c r="P42">
        <v>4.5999999999999996</v>
      </c>
      <c r="Q42">
        <v>6.3</v>
      </c>
      <c r="R42">
        <v>3.7</v>
      </c>
      <c r="S42">
        <v>6.9</v>
      </c>
      <c r="T42">
        <v>6.9</v>
      </c>
      <c r="U42">
        <v>4.9000000000000004</v>
      </c>
      <c r="V42">
        <v>5</v>
      </c>
      <c r="W42">
        <v>0.7</v>
      </c>
      <c r="X42">
        <v>1.4</v>
      </c>
      <c r="Y42">
        <v>6.8</v>
      </c>
      <c r="Z42">
        <v>5.8</v>
      </c>
      <c r="AA42" s="7">
        <v>2.6</v>
      </c>
    </row>
    <row r="43" spans="1:27" ht="15.75">
      <c r="A43" s="3">
        <v>5</v>
      </c>
      <c r="B43" s="23" t="s">
        <v>15</v>
      </c>
      <c r="C43" s="109">
        <v>9.1999999999999993</v>
      </c>
      <c r="D43" s="20">
        <v>1.7</v>
      </c>
      <c r="E43" s="20">
        <v>2</v>
      </c>
      <c r="F43" s="20">
        <v>3.5</v>
      </c>
      <c r="G43" s="110">
        <v>0</v>
      </c>
      <c r="H43" s="20">
        <v>9.1999999999999993</v>
      </c>
      <c r="I43">
        <v>4.7</v>
      </c>
      <c r="J43">
        <v>2.7</v>
      </c>
      <c r="K43">
        <v>1</v>
      </c>
      <c r="L43">
        <v>1.6</v>
      </c>
      <c r="M43">
        <v>1.3</v>
      </c>
      <c r="N43">
        <v>0.6</v>
      </c>
      <c r="O43">
        <v>2.7</v>
      </c>
      <c r="P43">
        <v>2.2000000000000002</v>
      </c>
      <c r="Q43">
        <v>3.1</v>
      </c>
      <c r="R43">
        <v>0.3</v>
      </c>
      <c r="S43">
        <v>3.6</v>
      </c>
      <c r="T43">
        <v>3.5</v>
      </c>
      <c r="U43">
        <v>8.4</v>
      </c>
      <c r="V43">
        <v>8.5</v>
      </c>
      <c r="W43">
        <v>2.9</v>
      </c>
      <c r="X43">
        <v>3.2</v>
      </c>
      <c r="Y43">
        <v>6.1</v>
      </c>
      <c r="Z43">
        <v>9.3000000000000007</v>
      </c>
      <c r="AA43" s="7">
        <v>6.1</v>
      </c>
    </row>
    <row r="44" spans="1:27" ht="15.75">
      <c r="A44" s="3">
        <v>6</v>
      </c>
      <c r="B44" s="23" t="s">
        <v>17</v>
      </c>
      <c r="C44" s="109">
        <v>8.6</v>
      </c>
      <c r="D44" s="20">
        <v>10</v>
      </c>
      <c r="E44" s="20">
        <v>7.7</v>
      </c>
      <c r="F44" s="20">
        <v>5.7</v>
      </c>
      <c r="G44" s="20">
        <v>9.1999999999999993</v>
      </c>
      <c r="H44" s="110">
        <v>0</v>
      </c>
      <c r="I44">
        <v>12.3</v>
      </c>
      <c r="J44">
        <v>10.199999999999999</v>
      </c>
      <c r="K44">
        <v>9.6</v>
      </c>
      <c r="L44">
        <v>8.1999999999999993</v>
      </c>
      <c r="M44">
        <v>8.3000000000000007</v>
      </c>
      <c r="N44">
        <v>8.8000000000000007</v>
      </c>
      <c r="O44">
        <v>10.3</v>
      </c>
      <c r="P44">
        <v>9.1</v>
      </c>
      <c r="Q44">
        <v>11</v>
      </c>
      <c r="R44">
        <v>9.4</v>
      </c>
      <c r="S44">
        <v>6.1</v>
      </c>
      <c r="T44">
        <v>6.5</v>
      </c>
      <c r="U44">
        <v>6.5</v>
      </c>
      <c r="V44">
        <v>3.2</v>
      </c>
      <c r="W44">
        <v>6.3</v>
      </c>
      <c r="X44">
        <v>6.3</v>
      </c>
      <c r="Y44">
        <v>3.6</v>
      </c>
      <c r="Z44">
        <v>4</v>
      </c>
      <c r="AA44" s="7">
        <v>3</v>
      </c>
    </row>
    <row r="45" spans="1:27">
      <c r="A45" s="3">
        <v>7</v>
      </c>
      <c r="B45" s="16" t="s">
        <v>41</v>
      </c>
      <c r="C45" s="3">
        <v>1.2</v>
      </c>
      <c r="D45">
        <v>3.1</v>
      </c>
      <c r="E45">
        <v>5.9</v>
      </c>
      <c r="F45">
        <v>7.1</v>
      </c>
      <c r="G45">
        <v>4.7</v>
      </c>
      <c r="H45">
        <v>12.3</v>
      </c>
      <c r="I45" s="40">
        <v>0</v>
      </c>
      <c r="J45">
        <v>2.1</v>
      </c>
      <c r="K45">
        <v>4.2</v>
      </c>
      <c r="L45">
        <v>6.2</v>
      </c>
      <c r="M45">
        <v>11</v>
      </c>
      <c r="N45">
        <v>5.3</v>
      </c>
      <c r="O45">
        <v>2</v>
      </c>
      <c r="P45">
        <v>2.5</v>
      </c>
      <c r="Q45">
        <v>3.8</v>
      </c>
      <c r="R45">
        <v>4.4000000000000004</v>
      </c>
      <c r="S45">
        <v>7.5</v>
      </c>
      <c r="T45">
        <v>7.5</v>
      </c>
      <c r="U45">
        <v>12</v>
      </c>
      <c r="V45">
        <v>12.2</v>
      </c>
      <c r="W45">
        <v>6.5</v>
      </c>
      <c r="X45">
        <v>7.1</v>
      </c>
      <c r="Y45">
        <v>10</v>
      </c>
      <c r="Z45">
        <v>13</v>
      </c>
      <c r="AA45" s="7">
        <v>9.8000000000000007</v>
      </c>
    </row>
    <row r="46" spans="1:27">
      <c r="A46" s="3">
        <v>8</v>
      </c>
      <c r="B46" s="16" t="s">
        <v>42</v>
      </c>
      <c r="C46" s="3">
        <v>0.9</v>
      </c>
      <c r="D46">
        <v>1.1000000000000001</v>
      </c>
      <c r="E46">
        <v>4</v>
      </c>
      <c r="F46">
        <v>5.0999999999999996</v>
      </c>
      <c r="G46">
        <v>2.7</v>
      </c>
      <c r="H46">
        <v>10.199999999999999</v>
      </c>
      <c r="I46">
        <v>2.1</v>
      </c>
      <c r="J46" s="40">
        <v>0</v>
      </c>
      <c r="K46">
        <v>2.2000000000000002</v>
      </c>
      <c r="L46">
        <v>4.2</v>
      </c>
      <c r="M46">
        <v>3.8</v>
      </c>
      <c r="N46">
        <v>3.3</v>
      </c>
      <c r="O46">
        <v>0.1</v>
      </c>
      <c r="P46">
        <v>0.6</v>
      </c>
      <c r="Q46">
        <v>4.5</v>
      </c>
      <c r="R46">
        <v>2.4</v>
      </c>
      <c r="S46">
        <v>5.5</v>
      </c>
      <c r="T46">
        <v>5.5</v>
      </c>
      <c r="U46">
        <v>9.9</v>
      </c>
      <c r="V46">
        <v>10.1</v>
      </c>
      <c r="W46">
        <v>4.5</v>
      </c>
      <c r="X46">
        <v>5.0999999999999996</v>
      </c>
      <c r="Y46">
        <v>8</v>
      </c>
      <c r="Z46">
        <v>11</v>
      </c>
      <c r="AA46" s="7">
        <v>7.7</v>
      </c>
    </row>
    <row r="47" spans="1:27">
      <c r="A47" s="3">
        <v>9</v>
      </c>
      <c r="B47" s="16" t="s">
        <v>43</v>
      </c>
      <c r="C47" s="3">
        <v>2.5</v>
      </c>
      <c r="D47">
        <v>1.1000000000000001</v>
      </c>
      <c r="E47">
        <v>2.2999999999999998</v>
      </c>
      <c r="F47">
        <v>3.9</v>
      </c>
      <c r="G47">
        <v>1</v>
      </c>
      <c r="H47">
        <v>9.6</v>
      </c>
      <c r="I47">
        <v>4.2</v>
      </c>
      <c r="J47">
        <v>2.2000000000000002</v>
      </c>
      <c r="K47" s="40">
        <v>0</v>
      </c>
      <c r="L47">
        <v>2.5</v>
      </c>
      <c r="M47">
        <v>2.2000000000000002</v>
      </c>
      <c r="N47">
        <v>1.6</v>
      </c>
      <c r="O47">
        <v>2.2000000000000002</v>
      </c>
      <c r="P47">
        <v>1.6</v>
      </c>
      <c r="Q47">
        <v>2.9</v>
      </c>
      <c r="R47">
        <v>0.7</v>
      </c>
      <c r="S47">
        <v>3.8</v>
      </c>
      <c r="T47">
        <v>3.8</v>
      </c>
      <c r="U47">
        <v>8.8000000000000007</v>
      </c>
      <c r="V47">
        <v>9</v>
      </c>
      <c r="W47">
        <v>3.3</v>
      </c>
      <c r="X47">
        <v>3.6</v>
      </c>
      <c r="Y47">
        <v>6.4</v>
      </c>
      <c r="Z47">
        <v>9.8000000000000007</v>
      </c>
      <c r="AA47" s="7">
        <v>6.6</v>
      </c>
    </row>
    <row r="48" spans="1:27">
      <c r="A48" s="3">
        <v>10</v>
      </c>
      <c r="B48" s="16" t="s">
        <v>44</v>
      </c>
      <c r="C48" s="3">
        <v>4</v>
      </c>
      <c r="D48">
        <v>3.2</v>
      </c>
      <c r="E48">
        <v>3.5</v>
      </c>
      <c r="F48">
        <v>2.5</v>
      </c>
      <c r="G48">
        <v>1.6</v>
      </c>
      <c r="H48">
        <v>8.1999999999999993</v>
      </c>
      <c r="I48">
        <v>6.2</v>
      </c>
      <c r="J48">
        <v>4.2</v>
      </c>
      <c r="K48">
        <v>2.5</v>
      </c>
      <c r="L48" s="40">
        <v>0</v>
      </c>
      <c r="M48">
        <v>6.4</v>
      </c>
      <c r="N48">
        <v>1.2</v>
      </c>
      <c r="O48">
        <v>4.2</v>
      </c>
      <c r="P48">
        <v>2.7</v>
      </c>
      <c r="Q48">
        <v>4.5999999999999996</v>
      </c>
      <c r="R48">
        <v>1.8</v>
      </c>
      <c r="S48">
        <v>5.0999999999999996</v>
      </c>
      <c r="T48">
        <v>5.0999999999999996</v>
      </c>
      <c r="U48">
        <v>7.4</v>
      </c>
      <c r="V48">
        <v>7.5</v>
      </c>
      <c r="W48">
        <v>1.9</v>
      </c>
      <c r="X48">
        <v>2.2000000000000002</v>
      </c>
      <c r="Y48">
        <v>7.6</v>
      </c>
      <c r="Z48">
        <v>8.3000000000000007</v>
      </c>
      <c r="AA48" s="7">
        <v>5.0999999999999996</v>
      </c>
    </row>
    <row r="49" spans="1:27">
      <c r="A49" s="3">
        <v>11</v>
      </c>
      <c r="B49" s="16" t="s">
        <v>46</v>
      </c>
      <c r="C49" s="3">
        <v>0.9</v>
      </c>
      <c r="D49">
        <v>2.8</v>
      </c>
      <c r="E49">
        <v>3.2</v>
      </c>
      <c r="F49">
        <v>3.9</v>
      </c>
      <c r="G49">
        <v>1.3</v>
      </c>
      <c r="H49">
        <v>8.3000000000000007</v>
      </c>
      <c r="I49">
        <v>11</v>
      </c>
      <c r="J49">
        <v>3.8</v>
      </c>
      <c r="K49">
        <v>2.2000000000000002</v>
      </c>
      <c r="L49">
        <v>6.4</v>
      </c>
      <c r="M49" s="40">
        <v>0</v>
      </c>
      <c r="N49">
        <v>0.9</v>
      </c>
      <c r="O49">
        <v>3.9</v>
      </c>
      <c r="P49">
        <v>2.4</v>
      </c>
      <c r="Q49">
        <v>4.3</v>
      </c>
      <c r="R49">
        <v>1.5</v>
      </c>
      <c r="S49">
        <v>4.7</v>
      </c>
      <c r="T49">
        <v>4.7</v>
      </c>
      <c r="U49">
        <v>7.6</v>
      </c>
      <c r="V49">
        <v>7.7</v>
      </c>
      <c r="W49">
        <v>2</v>
      </c>
      <c r="X49">
        <v>2.2999999999999998</v>
      </c>
      <c r="Y49">
        <v>7.2</v>
      </c>
      <c r="Z49">
        <v>8.5</v>
      </c>
      <c r="AA49" s="7">
        <v>5.3</v>
      </c>
    </row>
    <row r="50" spans="1:27">
      <c r="A50" s="3">
        <v>12</v>
      </c>
      <c r="B50" s="16" t="s">
        <v>48</v>
      </c>
      <c r="C50" s="109">
        <v>3.6</v>
      </c>
      <c r="D50">
        <v>2.2000000000000002</v>
      </c>
      <c r="E50">
        <v>2.6</v>
      </c>
      <c r="F50">
        <v>3.1</v>
      </c>
      <c r="G50">
        <v>0.6</v>
      </c>
      <c r="H50">
        <v>8.8000000000000007</v>
      </c>
      <c r="I50">
        <v>5.3</v>
      </c>
      <c r="J50">
        <v>3.3</v>
      </c>
      <c r="K50">
        <v>1.6</v>
      </c>
      <c r="L50">
        <v>1.2</v>
      </c>
      <c r="M50">
        <v>0.9</v>
      </c>
      <c r="N50" s="40">
        <v>0</v>
      </c>
      <c r="O50">
        <v>3.3</v>
      </c>
      <c r="P50">
        <v>1.8</v>
      </c>
      <c r="Q50">
        <v>3.7</v>
      </c>
      <c r="R50">
        <v>0.9</v>
      </c>
      <c r="S50">
        <v>4.0999999999999996</v>
      </c>
      <c r="T50">
        <v>4.0999999999999996</v>
      </c>
      <c r="U50">
        <v>8.1</v>
      </c>
      <c r="V50">
        <v>8.1999999999999993</v>
      </c>
      <c r="W50">
        <v>2.5</v>
      </c>
      <c r="X50">
        <v>2.8</v>
      </c>
      <c r="Y50">
        <v>6.6</v>
      </c>
      <c r="Z50">
        <v>9</v>
      </c>
      <c r="AA50" s="7">
        <v>5.8</v>
      </c>
    </row>
    <row r="51" spans="1:27">
      <c r="A51" s="3">
        <v>13</v>
      </c>
      <c r="B51" s="16" t="s">
        <v>49</v>
      </c>
      <c r="C51" s="3">
        <v>0.85</v>
      </c>
      <c r="D51">
        <v>1.1000000000000001</v>
      </c>
      <c r="E51">
        <v>3.9</v>
      </c>
      <c r="F51">
        <v>5.2</v>
      </c>
      <c r="G51">
        <v>2.7</v>
      </c>
      <c r="H51">
        <v>10.3</v>
      </c>
      <c r="I51">
        <v>2</v>
      </c>
      <c r="J51">
        <v>0.1</v>
      </c>
      <c r="K51">
        <v>2.2000000000000002</v>
      </c>
      <c r="L51">
        <v>4.2</v>
      </c>
      <c r="M51">
        <v>3.9</v>
      </c>
      <c r="N51">
        <v>3.3</v>
      </c>
      <c r="O51" s="40">
        <v>0</v>
      </c>
      <c r="P51">
        <v>2.8</v>
      </c>
      <c r="Q51">
        <v>4.5</v>
      </c>
      <c r="R51">
        <v>2.4</v>
      </c>
      <c r="S51">
        <v>5.5</v>
      </c>
      <c r="T51">
        <v>5.5</v>
      </c>
      <c r="U51">
        <v>10</v>
      </c>
      <c r="V51">
        <v>10.199999999999999</v>
      </c>
      <c r="W51">
        <v>4.5</v>
      </c>
      <c r="X51">
        <v>5.0999999999999996</v>
      </c>
      <c r="Y51">
        <v>8</v>
      </c>
      <c r="Z51">
        <v>11</v>
      </c>
      <c r="AA51" s="7">
        <v>7.8</v>
      </c>
    </row>
    <row r="52" spans="1:27">
      <c r="A52" s="3">
        <v>14</v>
      </c>
      <c r="B52" s="16" t="s">
        <v>50</v>
      </c>
      <c r="C52" s="3">
        <v>3</v>
      </c>
      <c r="D52">
        <v>1.7</v>
      </c>
      <c r="E52">
        <v>1.4</v>
      </c>
      <c r="F52">
        <v>4.5999999999999996</v>
      </c>
      <c r="G52">
        <v>2.2000000000000002</v>
      </c>
      <c r="H52">
        <v>9.1</v>
      </c>
      <c r="I52">
        <v>2.5</v>
      </c>
      <c r="J52">
        <v>0.6</v>
      </c>
      <c r="K52">
        <v>1.6</v>
      </c>
      <c r="L52">
        <v>2.7</v>
      </c>
      <c r="M52">
        <v>2.4</v>
      </c>
      <c r="N52">
        <v>1.8</v>
      </c>
      <c r="O52">
        <v>2.8</v>
      </c>
      <c r="P52" s="40">
        <v>0</v>
      </c>
      <c r="Q52">
        <v>2.1</v>
      </c>
      <c r="R52">
        <v>0.9</v>
      </c>
      <c r="S52">
        <v>2.9</v>
      </c>
      <c r="T52">
        <v>2.9</v>
      </c>
      <c r="U52">
        <v>8.5</v>
      </c>
      <c r="V52">
        <v>8.4</v>
      </c>
      <c r="W52">
        <v>3.9</v>
      </c>
      <c r="X52">
        <v>4.2</v>
      </c>
      <c r="Y52">
        <v>5.4</v>
      </c>
      <c r="Z52">
        <v>9.4</v>
      </c>
      <c r="AA52" s="7">
        <v>7.2</v>
      </c>
    </row>
    <row r="53" spans="1:27">
      <c r="A53" s="3">
        <v>15</v>
      </c>
      <c r="B53" s="16" t="s">
        <v>51</v>
      </c>
      <c r="C53" s="3">
        <v>4.8</v>
      </c>
      <c r="D53">
        <v>3.4</v>
      </c>
      <c r="E53">
        <v>3.3</v>
      </c>
      <c r="F53">
        <v>6.3</v>
      </c>
      <c r="G53">
        <v>3.1</v>
      </c>
      <c r="H53">
        <v>11</v>
      </c>
      <c r="I53">
        <v>3.8</v>
      </c>
      <c r="J53">
        <v>4.5</v>
      </c>
      <c r="K53">
        <v>2.9</v>
      </c>
      <c r="L53">
        <v>4.5999999999999996</v>
      </c>
      <c r="M53">
        <v>4.3</v>
      </c>
      <c r="N53">
        <v>3.7</v>
      </c>
      <c r="O53">
        <v>4.5</v>
      </c>
      <c r="P53">
        <v>2.1</v>
      </c>
      <c r="Q53" s="40">
        <v>0</v>
      </c>
      <c r="R53">
        <v>2.8</v>
      </c>
      <c r="S53">
        <v>4.9000000000000004</v>
      </c>
      <c r="T53">
        <v>4.8</v>
      </c>
      <c r="U53">
        <v>10.4</v>
      </c>
      <c r="V53">
        <v>10.3</v>
      </c>
      <c r="W53">
        <v>5.7</v>
      </c>
      <c r="X53">
        <v>6</v>
      </c>
      <c r="Y53">
        <v>7.4</v>
      </c>
      <c r="Z53">
        <v>11.3</v>
      </c>
      <c r="AA53" s="7">
        <v>8.9</v>
      </c>
    </row>
    <row r="54" spans="1:27">
      <c r="A54" s="3">
        <v>16</v>
      </c>
      <c r="B54" s="16" t="s">
        <v>52</v>
      </c>
      <c r="C54" s="3">
        <v>2.9</v>
      </c>
      <c r="D54">
        <v>1.4</v>
      </c>
      <c r="E54">
        <v>1.7</v>
      </c>
      <c r="F54">
        <v>3.7</v>
      </c>
      <c r="G54">
        <v>0.3</v>
      </c>
      <c r="H54">
        <v>9.4</v>
      </c>
      <c r="I54">
        <v>4.4000000000000004</v>
      </c>
      <c r="J54">
        <v>2.4</v>
      </c>
      <c r="K54">
        <v>0.7</v>
      </c>
      <c r="L54">
        <v>1.8</v>
      </c>
      <c r="M54">
        <v>1.5</v>
      </c>
      <c r="N54">
        <v>0.9</v>
      </c>
      <c r="O54">
        <v>2.4</v>
      </c>
      <c r="P54">
        <v>0.9</v>
      </c>
      <c r="Q54">
        <v>2.8</v>
      </c>
      <c r="R54" s="40">
        <v>0</v>
      </c>
      <c r="S54" s="40">
        <v>3.3</v>
      </c>
      <c r="T54">
        <v>3.2</v>
      </c>
      <c r="U54">
        <v>8.6</v>
      </c>
      <c r="V54">
        <v>8.6999999999999993</v>
      </c>
      <c r="W54">
        <v>3.1</v>
      </c>
      <c r="X54">
        <v>3.4</v>
      </c>
      <c r="Y54">
        <v>5.8</v>
      </c>
      <c r="Z54">
        <v>9.5</v>
      </c>
      <c r="AA54" s="7">
        <v>6.3</v>
      </c>
    </row>
    <row r="55" spans="1:27">
      <c r="A55" s="3">
        <v>17</v>
      </c>
      <c r="B55" s="16" t="s">
        <v>63</v>
      </c>
      <c r="C55" s="3">
        <v>6.1</v>
      </c>
      <c r="D55">
        <v>4.4000000000000004</v>
      </c>
      <c r="E55">
        <v>1.6</v>
      </c>
      <c r="F55">
        <v>6.9</v>
      </c>
      <c r="G55">
        <v>3.6</v>
      </c>
      <c r="H55">
        <v>6.1</v>
      </c>
      <c r="I55">
        <v>7.5</v>
      </c>
      <c r="J55">
        <v>5.5</v>
      </c>
      <c r="K55">
        <v>3.8</v>
      </c>
      <c r="L55">
        <v>5.0999999999999996</v>
      </c>
      <c r="M55">
        <v>4.7</v>
      </c>
      <c r="N55">
        <v>4.0999999999999996</v>
      </c>
      <c r="O55">
        <v>5.5</v>
      </c>
      <c r="P55">
        <v>2.9</v>
      </c>
      <c r="Q55">
        <v>4.9000000000000004</v>
      </c>
      <c r="R55" s="40">
        <v>3.3</v>
      </c>
      <c r="S55" s="40">
        <v>0</v>
      </c>
      <c r="T55">
        <v>0.4</v>
      </c>
      <c r="U55">
        <v>5.6</v>
      </c>
      <c r="V55">
        <v>5.4</v>
      </c>
      <c r="W55">
        <v>6.3</v>
      </c>
      <c r="X55">
        <v>6.6</v>
      </c>
      <c r="Y55">
        <v>2.5</v>
      </c>
      <c r="Z55">
        <v>6.4</v>
      </c>
      <c r="AA55" s="7">
        <v>6.7</v>
      </c>
    </row>
    <row r="56" spans="1:27">
      <c r="A56" s="3">
        <v>18</v>
      </c>
      <c r="B56" s="16" t="s">
        <v>54</v>
      </c>
      <c r="C56" s="3">
        <v>6</v>
      </c>
      <c r="D56">
        <v>4.4000000000000004</v>
      </c>
      <c r="E56">
        <v>1.5</v>
      </c>
      <c r="F56">
        <v>6.9</v>
      </c>
      <c r="G56">
        <v>3.5</v>
      </c>
      <c r="H56">
        <v>6.5</v>
      </c>
      <c r="I56">
        <v>7.5</v>
      </c>
      <c r="J56">
        <v>5.5</v>
      </c>
      <c r="K56">
        <v>3.8</v>
      </c>
      <c r="L56">
        <v>5.0999999999999996</v>
      </c>
      <c r="M56">
        <v>4.7</v>
      </c>
      <c r="N56">
        <v>4.0999999999999996</v>
      </c>
      <c r="O56">
        <v>5.5</v>
      </c>
      <c r="P56">
        <v>2.9</v>
      </c>
      <c r="Q56">
        <v>4.8</v>
      </c>
      <c r="R56">
        <v>3.2</v>
      </c>
      <c r="S56">
        <v>0.4</v>
      </c>
      <c r="T56" s="40">
        <v>0</v>
      </c>
      <c r="U56">
        <v>5.9</v>
      </c>
      <c r="V56">
        <v>5.8</v>
      </c>
      <c r="W56">
        <v>6.3</v>
      </c>
      <c r="X56">
        <v>6.6</v>
      </c>
      <c r="Y56">
        <v>2.9</v>
      </c>
      <c r="Z56">
        <v>6.8</v>
      </c>
      <c r="AA56" s="7">
        <v>7</v>
      </c>
    </row>
    <row r="57" spans="1:27">
      <c r="A57" s="3">
        <v>19</v>
      </c>
      <c r="B57" s="16" t="s">
        <v>55</v>
      </c>
      <c r="C57" s="109">
        <v>7.6</v>
      </c>
      <c r="D57">
        <v>9.1999999999999993</v>
      </c>
      <c r="E57">
        <v>7.1</v>
      </c>
      <c r="F57">
        <v>4.9000000000000004</v>
      </c>
      <c r="G57">
        <v>8.4</v>
      </c>
      <c r="H57">
        <v>6.5</v>
      </c>
      <c r="I57">
        <v>12</v>
      </c>
      <c r="J57">
        <v>9.9</v>
      </c>
      <c r="K57">
        <v>8.8000000000000007</v>
      </c>
      <c r="L57">
        <v>7.4</v>
      </c>
      <c r="M57">
        <v>7.6</v>
      </c>
      <c r="N57">
        <v>8.1</v>
      </c>
      <c r="O57">
        <v>10</v>
      </c>
      <c r="P57">
        <v>8.5</v>
      </c>
      <c r="Q57">
        <v>10.4</v>
      </c>
      <c r="R57">
        <v>8.6</v>
      </c>
      <c r="S57">
        <v>5.6</v>
      </c>
      <c r="T57">
        <v>5.9</v>
      </c>
      <c r="U57" s="40">
        <v>0</v>
      </c>
      <c r="V57">
        <v>2.4</v>
      </c>
      <c r="W57">
        <v>5.6</v>
      </c>
      <c r="X57">
        <v>5.6</v>
      </c>
      <c r="Y57">
        <v>3</v>
      </c>
      <c r="Z57">
        <v>3.4</v>
      </c>
      <c r="AA57" s="7">
        <v>2.2999999999999998</v>
      </c>
    </row>
    <row r="58" spans="1:27">
      <c r="A58" s="3">
        <v>20</v>
      </c>
      <c r="B58" s="16" t="s">
        <v>56</v>
      </c>
      <c r="C58" s="3">
        <v>10.8</v>
      </c>
      <c r="D58">
        <v>9.3000000000000007</v>
      </c>
      <c r="E58">
        <v>7</v>
      </c>
      <c r="F58">
        <v>5</v>
      </c>
      <c r="G58">
        <v>8.5</v>
      </c>
      <c r="H58">
        <v>3.2</v>
      </c>
      <c r="I58">
        <v>12.2</v>
      </c>
      <c r="J58">
        <v>10.1</v>
      </c>
      <c r="K58">
        <v>9</v>
      </c>
      <c r="L58">
        <v>7.5</v>
      </c>
      <c r="M58">
        <v>7.7</v>
      </c>
      <c r="N58">
        <v>8.1999999999999993</v>
      </c>
      <c r="O58">
        <v>10.199999999999999</v>
      </c>
      <c r="P58">
        <v>8.4</v>
      </c>
      <c r="Q58">
        <v>10.3</v>
      </c>
      <c r="R58">
        <v>8.6999999999999993</v>
      </c>
      <c r="S58">
        <v>5.4</v>
      </c>
      <c r="T58">
        <v>5.8</v>
      </c>
      <c r="U58">
        <v>2.4</v>
      </c>
      <c r="V58" s="40">
        <v>0</v>
      </c>
      <c r="W58">
        <v>5.7</v>
      </c>
      <c r="X58">
        <v>5.7</v>
      </c>
      <c r="Y58">
        <v>2.9</v>
      </c>
      <c r="Z58">
        <v>1.4</v>
      </c>
      <c r="AA58" s="7">
        <v>2.4</v>
      </c>
    </row>
    <row r="59" spans="1:27">
      <c r="A59" s="3">
        <v>21</v>
      </c>
      <c r="B59" s="16" t="s">
        <v>57</v>
      </c>
      <c r="C59" s="3">
        <v>4.8</v>
      </c>
      <c r="D59">
        <v>3.7</v>
      </c>
      <c r="E59">
        <v>4.8</v>
      </c>
      <c r="F59">
        <v>0.7</v>
      </c>
      <c r="G59">
        <v>2.9</v>
      </c>
      <c r="H59">
        <v>6.3</v>
      </c>
      <c r="I59">
        <v>6.5</v>
      </c>
      <c r="J59">
        <v>4.5</v>
      </c>
      <c r="K59">
        <v>3.3</v>
      </c>
      <c r="L59">
        <v>1.9</v>
      </c>
      <c r="M59">
        <v>2</v>
      </c>
      <c r="N59">
        <v>2.5</v>
      </c>
      <c r="O59">
        <v>4.5</v>
      </c>
      <c r="P59">
        <v>3.9</v>
      </c>
      <c r="Q59">
        <v>5.7</v>
      </c>
      <c r="R59">
        <v>3.1</v>
      </c>
      <c r="S59">
        <v>6.3</v>
      </c>
      <c r="T59">
        <v>6.3</v>
      </c>
      <c r="U59">
        <v>5.6</v>
      </c>
      <c r="V59">
        <v>5.7</v>
      </c>
      <c r="W59" s="40">
        <v>0</v>
      </c>
      <c r="X59">
        <v>1.1000000000000001</v>
      </c>
      <c r="Y59">
        <v>7.5</v>
      </c>
      <c r="Z59">
        <v>6.5</v>
      </c>
      <c r="AA59" s="7">
        <v>3.3</v>
      </c>
    </row>
    <row r="60" spans="1:27">
      <c r="A60" s="3">
        <v>22</v>
      </c>
      <c r="B60" s="16" t="s">
        <v>58</v>
      </c>
      <c r="C60" s="3">
        <v>5.4</v>
      </c>
      <c r="D60">
        <v>4.2</v>
      </c>
      <c r="E60">
        <v>5.0999999999999996</v>
      </c>
      <c r="F60">
        <v>1.4</v>
      </c>
      <c r="G60">
        <v>3.2</v>
      </c>
      <c r="H60">
        <v>6.3</v>
      </c>
      <c r="I60">
        <v>7.1</v>
      </c>
      <c r="J60">
        <v>5.0999999999999996</v>
      </c>
      <c r="K60">
        <v>3.6</v>
      </c>
      <c r="L60">
        <v>2.2000000000000002</v>
      </c>
      <c r="M60">
        <v>2.2999999999999998</v>
      </c>
      <c r="N60">
        <v>2.8</v>
      </c>
      <c r="O60">
        <v>5.0999999999999996</v>
      </c>
      <c r="P60">
        <v>4.2</v>
      </c>
      <c r="Q60">
        <v>6</v>
      </c>
      <c r="R60">
        <v>3.4</v>
      </c>
      <c r="S60">
        <v>6.6</v>
      </c>
      <c r="T60">
        <v>6.6</v>
      </c>
      <c r="U60">
        <v>5.6</v>
      </c>
      <c r="V60">
        <v>5.7</v>
      </c>
      <c r="W60">
        <v>1.1000000000000001</v>
      </c>
      <c r="X60" s="40">
        <v>0</v>
      </c>
      <c r="Y60">
        <v>7.5</v>
      </c>
      <c r="Z60">
        <v>6.5</v>
      </c>
      <c r="AA60" s="7">
        <v>3.3</v>
      </c>
    </row>
    <row r="61" spans="1:27">
      <c r="A61" s="3">
        <v>23</v>
      </c>
      <c r="B61" s="16" t="s">
        <v>59</v>
      </c>
      <c r="C61" s="3">
        <v>6.8</v>
      </c>
      <c r="D61">
        <v>6.9</v>
      </c>
      <c r="E61">
        <v>4.0999999999999996</v>
      </c>
      <c r="F61">
        <v>6.8</v>
      </c>
      <c r="G61">
        <v>6.1</v>
      </c>
      <c r="H61">
        <v>3.6</v>
      </c>
      <c r="I61">
        <v>10</v>
      </c>
      <c r="J61">
        <v>8</v>
      </c>
      <c r="K61">
        <v>6.4</v>
      </c>
      <c r="L61">
        <v>7.6</v>
      </c>
      <c r="M61">
        <v>7.2</v>
      </c>
      <c r="N61">
        <v>6.6</v>
      </c>
      <c r="O61">
        <v>8</v>
      </c>
      <c r="P61">
        <v>5.4</v>
      </c>
      <c r="Q61">
        <v>7.4</v>
      </c>
      <c r="R61">
        <v>5.8</v>
      </c>
      <c r="S61">
        <v>2.5</v>
      </c>
      <c r="T61">
        <v>2.9</v>
      </c>
      <c r="U61">
        <v>3</v>
      </c>
      <c r="V61">
        <v>2.9</v>
      </c>
      <c r="W61">
        <v>7.5</v>
      </c>
      <c r="X61">
        <v>7.5</v>
      </c>
      <c r="Y61" s="40">
        <v>0</v>
      </c>
      <c r="Z61">
        <v>3.9</v>
      </c>
      <c r="AA61" s="7">
        <v>4.2</v>
      </c>
    </row>
    <row r="62" spans="1:27">
      <c r="A62" s="3">
        <v>24</v>
      </c>
      <c r="B62" s="16" t="s">
        <v>60</v>
      </c>
      <c r="C62" s="3">
        <v>11.6</v>
      </c>
      <c r="D62">
        <v>10.1</v>
      </c>
      <c r="E62">
        <v>8</v>
      </c>
      <c r="F62">
        <v>5.8</v>
      </c>
      <c r="G62">
        <v>9.3000000000000007</v>
      </c>
      <c r="H62">
        <v>4</v>
      </c>
      <c r="I62">
        <v>13</v>
      </c>
      <c r="J62">
        <v>11</v>
      </c>
      <c r="K62">
        <v>9.8000000000000007</v>
      </c>
      <c r="L62">
        <v>8.3000000000000007</v>
      </c>
      <c r="M62">
        <v>8.5</v>
      </c>
      <c r="N62">
        <v>9</v>
      </c>
      <c r="O62">
        <v>11</v>
      </c>
      <c r="P62">
        <v>9.4</v>
      </c>
      <c r="Q62">
        <v>11.3</v>
      </c>
      <c r="R62">
        <v>9.5</v>
      </c>
      <c r="S62">
        <v>6.4</v>
      </c>
      <c r="T62">
        <v>6.8</v>
      </c>
      <c r="U62">
        <v>3.4</v>
      </c>
      <c r="V62">
        <v>1.4</v>
      </c>
      <c r="W62">
        <v>6.5</v>
      </c>
      <c r="X62">
        <v>6.5</v>
      </c>
      <c r="Y62">
        <v>3.9</v>
      </c>
      <c r="Z62" s="40">
        <v>0</v>
      </c>
      <c r="AA62" s="7">
        <v>3.2</v>
      </c>
    </row>
    <row r="63" spans="1:27" ht="15.75" thickBot="1">
      <c r="A63" s="3">
        <v>25</v>
      </c>
      <c r="B63" s="18" t="s">
        <v>61</v>
      </c>
      <c r="C63" s="4">
        <v>7</v>
      </c>
      <c r="D63" s="5">
        <v>6.9</v>
      </c>
      <c r="E63" s="5">
        <v>8</v>
      </c>
      <c r="F63" s="5">
        <v>2.6</v>
      </c>
      <c r="G63" s="5">
        <v>6.1</v>
      </c>
      <c r="H63" s="5">
        <v>3</v>
      </c>
      <c r="I63" s="5">
        <v>9.8000000000000007</v>
      </c>
      <c r="J63" s="5">
        <v>7.7</v>
      </c>
      <c r="K63" s="5">
        <v>6.6</v>
      </c>
      <c r="L63" s="5">
        <v>5.0999999999999996</v>
      </c>
      <c r="M63" s="5">
        <v>5.3</v>
      </c>
      <c r="N63" s="5">
        <v>5.8</v>
      </c>
      <c r="O63" s="5">
        <v>7.8</v>
      </c>
      <c r="P63" s="5">
        <v>7.2</v>
      </c>
      <c r="Q63" s="5">
        <v>8.9</v>
      </c>
      <c r="R63" s="5">
        <v>6.3</v>
      </c>
      <c r="S63" s="5">
        <v>6.7</v>
      </c>
      <c r="T63" s="5">
        <v>7</v>
      </c>
      <c r="U63" s="5">
        <v>2.2999999999999998</v>
      </c>
      <c r="V63" s="5">
        <v>2.4</v>
      </c>
      <c r="W63" s="5">
        <v>3.3</v>
      </c>
      <c r="X63" s="5">
        <v>3.3</v>
      </c>
      <c r="Y63" s="5">
        <v>4.2</v>
      </c>
      <c r="Z63" s="5">
        <v>3.2</v>
      </c>
      <c r="AA63" s="60">
        <v>0</v>
      </c>
    </row>
    <row r="69" spans="3:4">
      <c r="C69" s="150"/>
      <c r="D69" s="111"/>
    </row>
    <row r="70" spans="3:4">
      <c r="C70" s="111"/>
      <c r="D70" s="150"/>
    </row>
    <row r="71" spans="3:4">
      <c r="C71" s="111"/>
      <c r="D71" s="111"/>
    </row>
    <row r="72" spans="3:4">
      <c r="C72" s="111"/>
      <c r="D72" s="111"/>
    </row>
    <row r="73" spans="3:4">
      <c r="C73" s="111"/>
      <c r="D73" s="111"/>
    </row>
    <row r="74" spans="3:4">
      <c r="C74" s="111"/>
      <c r="D74" s="111"/>
    </row>
    <row r="75" spans="3:4">
      <c r="C75" s="111"/>
      <c r="D75" s="111"/>
    </row>
    <row r="76" spans="3:4">
      <c r="C76" s="111"/>
      <c r="D76" s="111"/>
    </row>
    <row r="77" spans="3:4">
      <c r="C77" s="111"/>
      <c r="D77" s="111"/>
    </row>
    <row r="78" spans="3:4">
      <c r="C78" s="111"/>
      <c r="D78" s="111"/>
    </row>
    <row r="79" spans="3:4">
      <c r="C79" s="111"/>
      <c r="D79" s="111"/>
    </row>
    <row r="80" spans="3:4">
      <c r="C80" s="111"/>
      <c r="D80" s="111"/>
    </row>
    <row r="81" spans="3:4">
      <c r="C81" s="111"/>
      <c r="D81" s="111"/>
    </row>
    <row r="82" spans="3:4">
      <c r="C82" s="111"/>
      <c r="D82" s="111"/>
    </row>
    <row r="83" spans="3:4">
      <c r="C83" s="111"/>
      <c r="D83" s="111"/>
    </row>
    <row r="84" spans="3:4">
      <c r="C84" s="111"/>
      <c r="D84" s="111"/>
    </row>
    <row r="85" spans="3:4">
      <c r="C85" s="111"/>
      <c r="D85" s="111"/>
    </row>
    <row r="86" spans="3:4">
      <c r="C86" s="111"/>
      <c r="D86" s="111"/>
    </row>
    <row r="87" spans="3:4">
      <c r="C87" s="111"/>
      <c r="D87" s="111"/>
    </row>
    <row r="88" spans="3:4">
      <c r="C88" s="111"/>
      <c r="D88" s="111"/>
    </row>
    <row r="89" spans="3:4">
      <c r="C89" s="111"/>
      <c r="D89" s="111"/>
    </row>
    <row r="90" spans="3:4">
      <c r="C90" s="111"/>
      <c r="D90" s="111"/>
    </row>
    <row r="91" spans="3:4">
      <c r="C91" s="111"/>
      <c r="D91" s="111"/>
    </row>
    <row r="92" spans="3:4">
      <c r="C92" s="111"/>
      <c r="D92" s="111"/>
    </row>
    <row r="93" spans="3:4">
      <c r="C93" s="111"/>
      <c r="D93" s="111"/>
    </row>
  </sheetData>
  <mergeCells count="2">
    <mergeCell ref="A3:AA3"/>
    <mergeCell ref="C36:AA36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AI52"/>
  <sheetViews>
    <sheetView topLeftCell="A19" workbookViewId="0">
      <selection activeCell="E27" sqref="E27"/>
    </sheetView>
  </sheetViews>
  <sheetFormatPr defaultColWidth="9" defaultRowHeight="15"/>
  <cols>
    <col min="2" max="2" width="18.140625" customWidth="1"/>
    <col min="3" max="3" width="18.28515625" customWidth="1"/>
    <col min="4" max="4" width="12.5703125" customWidth="1"/>
    <col min="5" max="5" width="13.42578125" customWidth="1"/>
    <col min="6" max="6" width="13" customWidth="1"/>
    <col min="7" max="7" width="12.42578125" customWidth="1"/>
    <col min="9" max="9" width="7.28515625" customWidth="1"/>
    <col min="10" max="10" width="10.7109375" customWidth="1"/>
    <col min="11" max="11" width="12.28515625" customWidth="1"/>
    <col min="12" max="12" width="12.5703125" customWidth="1"/>
    <col min="13" max="13" width="10.140625" customWidth="1"/>
    <col min="17" max="17" width="12" customWidth="1"/>
  </cols>
  <sheetData>
    <row r="1" spans="2:35">
      <c r="I1" s="20"/>
      <c r="J1" s="20"/>
    </row>
    <row r="3" spans="2:35">
      <c r="B3" s="9" t="s">
        <v>69</v>
      </c>
      <c r="C3" s="10" t="s">
        <v>3</v>
      </c>
      <c r="D3" s="169" t="s">
        <v>70</v>
      </c>
      <c r="E3" s="170"/>
      <c r="F3" s="164" t="s">
        <v>21</v>
      </c>
      <c r="G3" s="165"/>
      <c r="K3" s="163"/>
      <c r="L3" s="163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 spans="2:35">
      <c r="B4" s="13" t="s">
        <v>10</v>
      </c>
      <c r="C4" s="14" t="s">
        <v>11</v>
      </c>
      <c r="D4" s="14" t="s">
        <v>12</v>
      </c>
      <c r="E4" s="15" t="s">
        <v>23</v>
      </c>
      <c r="F4" s="13" t="s">
        <v>12</v>
      </c>
      <c r="G4" s="14" t="s">
        <v>23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 spans="2:35" ht="15.75">
      <c r="B5" s="3" t="s">
        <v>16</v>
      </c>
      <c r="C5" s="16">
        <v>3.0000000000000001E-5</v>
      </c>
      <c r="D5" s="16">
        <f>C5*$E$21</f>
        <v>4.44205574325E-2</v>
      </c>
      <c r="E5" s="17">
        <f>C5*$E$22</f>
        <v>8.72090996127E-2</v>
      </c>
      <c r="F5" s="1">
        <f>D5*$C$24*$D$17</f>
        <v>167.351340687923</v>
      </c>
      <c r="G5" s="17">
        <f>E5*$C$25*$D$17</f>
        <v>568.63690497815503</v>
      </c>
      <c r="I5" s="21"/>
      <c r="J5" s="82"/>
    </row>
    <row r="6" spans="2:35" ht="15.75">
      <c r="B6" s="3" t="s">
        <v>14</v>
      </c>
      <c r="C6" s="16">
        <v>4.0000000000000003E-5</v>
      </c>
      <c r="D6" s="16">
        <f t="shared" ref="D6:D10" si="0">C6*$E$21</f>
        <v>5.9227409910000001E-2</v>
      </c>
      <c r="E6" s="17">
        <f t="shared" ref="E6:E10" si="1">C6*$E$22</f>
        <v>0.1162787994836</v>
      </c>
      <c r="F6" s="3">
        <f t="shared" ref="F6:F10" si="2">D6*$C$24*$D$17</f>
        <v>223.13512091723101</v>
      </c>
      <c r="G6" s="16">
        <f t="shared" ref="G6:G10" si="3">E6*$C$25*$D$17</f>
        <v>758.18253997087299</v>
      </c>
      <c r="I6" s="21"/>
      <c r="J6" s="82"/>
    </row>
    <row r="7" spans="2:35" ht="15.75">
      <c r="B7" s="3" t="s">
        <v>13</v>
      </c>
      <c r="C7" s="16">
        <v>3.0000000000000001E-5</v>
      </c>
      <c r="D7" s="16">
        <f t="shared" si="0"/>
        <v>4.44205574325E-2</v>
      </c>
      <c r="E7" s="17">
        <f t="shared" si="1"/>
        <v>8.72090996127E-2</v>
      </c>
      <c r="F7" s="3">
        <f t="shared" si="2"/>
        <v>167.351340687923</v>
      </c>
      <c r="G7" s="16">
        <f t="shared" si="3"/>
        <v>568.63690497815503</v>
      </c>
      <c r="I7" s="21"/>
      <c r="J7" s="82"/>
    </row>
    <row r="8" spans="2:35" ht="15.75">
      <c r="B8" s="3" t="s">
        <v>45</v>
      </c>
      <c r="C8" s="16">
        <v>4.0000000000000003E-5</v>
      </c>
      <c r="D8" s="16">
        <f t="shared" si="0"/>
        <v>5.9227409910000001E-2</v>
      </c>
      <c r="E8" s="17">
        <f t="shared" si="1"/>
        <v>0.1162787994836</v>
      </c>
      <c r="F8" s="3">
        <f t="shared" si="2"/>
        <v>223.13512091723101</v>
      </c>
      <c r="G8" s="16">
        <f t="shared" si="3"/>
        <v>758.18253997087299</v>
      </c>
      <c r="I8" s="21"/>
      <c r="J8" s="82"/>
    </row>
    <row r="9" spans="2:35" ht="15.75">
      <c r="B9" s="3" t="s">
        <v>15</v>
      </c>
      <c r="C9" s="16">
        <v>4.0000000000000003E-5</v>
      </c>
      <c r="D9" s="16">
        <f t="shared" si="0"/>
        <v>5.9227409910000001E-2</v>
      </c>
      <c r="E9" s="17">
        <f t="shared" si="1"/>
        <v>0.1162787994836</v>
      </c>
      <c r="F9" s="3">
        <f t="shared" si="2"/>
        <v>223.13512091723101</v>
      </c>
      <c r="G9" s="16">
        <f t="shared" si="3"/>
        <v>758.18253997087299</v>
      </c>
      <c r="I9" s="21"/>
      <c r="J9" s="82"/>
    </row>
    <row r="10" spans="2:35" ht="15.75">
      <c r="B10" s="4" t="s">
        <v>17</v>
      </c>
      <c r="C10" s="18">
        <v>3.0000000000000001E-5</v>
      </c>
      <c r="D10" s="18">
        <f t="shared" si="0"/>
        <v>4.44205574325E-2</v>
      </c>
      <c r="E10" s="19">
        <f t="shared" si="1"/>
        <v>8.72090996127E-2</v>
      </c>
      <c r="F10" s="4">
        <f t="shared" si="2"/>
        <v>167.351340687923</v>
      </c>
      <c r="G10" s="18">
        <f t="shared" si="3"/>
        <v>568.63690497815503</v>
      </c>
      <c r="I10" s="21"/>
      <c r="J10" s="82"/>
    </row>
    <row r="11" spans="2:35" ht="15.75" thickBot="1">
      <c r="I11" s="21"/>
      <c r="J11" s="21"/>
    </row>
    <row r="12" spans="2:35" ht="15.75" thickBot="1">
      <c r="B12" s="9"/>
      <c r="C12" s="135" t="s">
        <v>71</v>
      </c>
      <c r="D12" s="164" t="s">
        <v>72</v>
      </c>
      <c r="E12" s="165"/>
      <c r="F12" s="19" t="s">
        <v>73</v>
      </c>
      <c r="I12" s="21"/>
      <c r="J12" s="21"/>
    </row>
    <row r="13" spans="2:35">
      <c r="B13" s="1" t="s">
        <v>18</v>
      </c>
      <c r="C13" s="17">
        <v>4.0000000000000003E-5</v>
      </c>
      <c r="D13" s="17">
        <f>E13*C13</f>
        <v>5.9227409910000001E-2</v>
      </c>
      <c r="E13" s="17">
        <v>1480.6852477499999</v>
      </c>
      <c r="F13" s="16">
        <f>D13*D17</f>
        <v>9.1802485360499998E-3</v>
      </c>
      <c r="G13">
        <f>F13*C24</f>
        <v>223.13512091723129</v>
      </c>
      <c r="I13" s="21"/>
      <c r="J13" s="21"/>
    </row>
    <row r="14" spans="2:35">
      <c r="B14" s="4" t="s">
        <v>19</v>
      </c>
      <c r="C14" s="18">
        <v>3.0000000000000001E-5</v>
      </c>
      <c r="D14" s="18">
        <f>C14*E14</f>
        <v>8.72090996127E-2</v>
      </c>
      <c r="E14" s="18">
        <v>2906.9699870899999</v>
      </c>
      <c r="F14" s="18">
        <f>D14*D17</f>
        <v>1.35174104399685E-2</v>
      </c>
      <c r="G14">
        <f>F14*C25</f>
        <v>568.63690497815492</v>
      </c>
      <c r="I14" s="21"/>
      <c r="J14" s="21"/>
    </row>
    <row r="15" spans="2:35">
      <c r="I15" s="21"/>
      <c r="J15" s="21"/>
    </row>
    <row r="16" spans="2:35">
      <c r="B16" t="s">
        <v>21</v>
      </c>
      <c r="C16" t="s">
        <v>22</v>
      </c>
      <c r="I16" s="21"/>
      <c r="J16" s="21"/>
    </row>
    <row r="17" spans="2:10">
      <c r="C17" t="s">
        <v>24</v>
      </c>
      <c r="D17">
        <v>0.155</v>
      </c>
      <c r="I17" s="21"/>
      <c r="J17" s="21"/>
    </row>
    <row r="18" spans="2:10">
      <c r="B18" t="s">
        <v>25</v>
      </c>
      <c r="C18">
        <v>1.75</v>
      </c>
      <c r="D18" t="s">
        <v>74</v>
      </c>
      <c r="I18" s="21"/>
      <c r="J18" s="21"/>
    </row>
    <row r="19" spans="2:10">
      <c r="B19" t="s">
        <v>26</v>
      </c>
      <c r="C19">
        <v>0.57140000000000002</v>
      </c>
      <c r="D19" t="s">
        <v>75</v>
      </c>
      <c r="I19" s="21"/>
      <c r="J19" s="21"/>
    </row>
    <row r="20" spans="2:10">
      <c r="I20" s="21"/>
      <c r="J20" s="21"/>
    </row>
    <row r="21" spans="2:10">
      <c r="B21" t="s">
        <v>12</v>
      </c>
      <c r="C21">
        <v>16718.25</v>
      </c>
      <c r="D21" t="s">
        <v>6</v>
      </c>
      <c r="E21">
        <f>C21*C19*D17</f>
        <v>1480.6852477499999</v>
      </c>
      <c r="F21" t="s">
        <v>75</v>
      </c>
      <c r="I21" s="21"/>
      <c r="J21" s="21"/>
    </row>
    <row r="22" spans="2:10">
      <c r="B22" t="s">
        <v>23</v>
      </c>
      <c r="C22">
        <v>32822.269999999997</v>
      </c>
      <c r="D22" t="s">
        <v>6</v>
      </c>
      <c r="E22">
        <f>C19*C22*D17</f>
        <v>2906.9699870899999</v>
      </c>
      <c r="F22" t="s">
        <v>75</v>
      </c>
      <c r="I22" s="21"/>
      <c r="J22" s="21"/>
    </row>
    <row r="23" spans="2:10">
      <c r="I23" s="21"/>
      <c r="J23" s="21"/>
    </row>
    <row r="24" spans="2:10">
      <c r="B24" t="s">
        <v>12</v>
      </c>
      <c r="C24">
        <v>24306</v>
      </c>
      <c r="I24" s="21"/>
      <c r="J24" s="21"/>
    </row>
    <row r="25" spans="2:10">
      <c r="B25" t="s">
        <v>23</v>
      </c>
      <c r="C25">
        <v>42067</v>
      </c>
      <c r="I25" s="21"/>
      <c r="J25" s="21"/>
    </row>
    <row r="26" spans="2:10" ht="15.75" thickBot="1">
      <c r="I26" s="21"/>
      <c r="J26" s="21"/>
    </row>
    <row r="27" spans="2:10">
      <c r="B27" s="151" t="s">
        <v>114</v>
      </c>
      <c r="C27" s="160" t="s">
        <v>115</v>
      </c>
      <c r="D27" s="152"/>
      <c r="E27" s="152"/>
      <c r="F27" s="156" t="s">
        <v>12</v>
      </c>
      <c r="I27" s="21"/>
      <c r="J27" s="21"/>
    </row>
    <row r="28" spans="2:10" ht="15.75" thickBot="1">
      <c r="B28" s="153"/>
      <c r="C28" s="154" t="s">
        <v>116</v>
      </c>
      <c r="D28" s="155"/>
      <c r="E28" s="155"/>
      <c r="F28" s="157" t="s">
        <v>23</v>
      </c>
      <c r="I28" s="21"/>
      <c r="J28" s="21"/>
    </row>
    <row r="29" spans="2:10">
      <c r="I29" s="21"/>
      <c r="J29" s="21"/>
    </row>
    <row r="31" spans="2:10">
      <c r="I31" s="83"/>
      <c r="J31" s="83"/>
    </row>
    <row r="52" spans="24:24">
      <c r="X52" t="s">
        <v>64</v>
      </c>
    </row>
  </sheetData>
  <mergeCells count="4">
    <mergeCell ref="D3:E3"/>
    <mergeCell ref="F3:G3"/>
    <mergeCell ref="K3:L3"/>
    <mergeCell ref="D12:E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43A4-B6D1-4769-8336-203D5E8EBAF2}">
  <sheetPr codeName="Sheet5"/>
  <dimension ref="B4:F21"/>
  <sheetViews>
    <sheetView tabSelected="1" topLeftCell="A4" workbookViewId="0">
      <selection activeCell="E20" sqref="E20"/>
    </sheetView>
  </sheetViews>
  <sheetFormatPr defaultRowHeight="15"/>
  <cols>
    <col min="3" max="4" width="14.28515625" customWidth="1"/>
    <col min="5" max="5" width="12" customWidth="1"/>
  </cols>
  <sheetData>
    <row r="4" spans="2:6">
      <c r="B4" s="81" t="s">
        <v>85</v>
      </c>
      <c r="D4" s="81" t="s">
        <v>86</v>
      </c>
    </row>
    <row r="6" spans="2:6">
      <c r="B6" s="81" t="s">
        <v>87</v>
      </c>
      <c r="C6" s="81" t="s">
        <v>90</v>
      </c>
      <c r="D6" s="81" t="s">
        <v>89</v>
      </c>
    </row>
    <row r="7" spans="2:6">
      <c r="B7" s="81" t="s">
        <v>12</v>
      </c>
      <c r="C7" s="34">
        <v>12</v>
      </c>
      <c r="D7" s="149" t="s">
        <v>121</v>
      </c>
      <c r="E7">
        <f>12*1042*0.54</f>
        <v>6752.1600000000008</v>
      </c>
      <c r="F7">
        <v>6752</v>
      </c>
    </row>
    <row r="8" spans="2:6">
      <c r="B8" s="81" t="s">
        <v>23</v>
      </c>
      <c r="C8" s="106" t="s">
        <v>78</v>
      </c>
      <c r="D8" s="149" t="s">
        <v>120</v>
      </c>
      <c r="E8">
        <f>21*0.54*1045</f>
        <v>11850.3</v>
      </c>
      <c r="F8">
        <v>11850</v>
      </c>
    </row>
    <row r="11" spans="2:6">
      <c r="B11" s="81" t="s">
        <v>88</v>
      </c>
    </row>
    <row r="13" spans="2:6">
      <c r="B13" s="81" t="s">
        <v>91</v>
      </c>
      <c r="C13" s="81" t="s">
        <v>92</v>
      </c>
    </row>
    <row r="14" spans="2:6">
      <c r="D14" s="81" t="s">
        <v>96</v>
      </c>
    </row>
    <row r="15" spans="2:6">
      <c r="C15" s="81" t="s">
        <v>93</v>
      </c>
      <c r="D15" s="81" t="s">
        <v>67</v>
      </c>
    </row>
    <row r="16" spans="2:6">
      <c r="C16" s="81" t="s">
        <v>94</v>
      </c>
      <c r="D16" s="81" t="s">
        <v>68</v>
      </c>
    </row>
    <row r="17" spans="2:6">
      <c r="C17" s="81" t="s">
        <v>95</v>
      </c>
      <c r="D17" s="81" t="s">
        <v>97</v>
      </c>
    </row>
    <row r="18" spans="2:6">
      <c r="D18" s="81" t="s">
        <v>98</v>
      </c>
    </row>
    <row r="20" spans="2:6">
      <c r="B20" s="81" t="s">
        <v>99</v>
      </c>
      <c r="E20">
        <f>12*1042*0.54</f>
        <v>6752.1600000000008</v>
      </c>
      <c r="F20">
        <f>E20*1.5</f>
        <v>10128.240000000002</v>
      </c>
    </row>
    <row r="21" spans="2:6">
      <c r="C21" s="81" t="s">
        <v>100</v>
      </c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0D7C-252F-40CF-84CE-460CA8179C94}">
  <sheetPr codeName="Sheet6"/>
  <dimension ref="A4:AA86"/>
  <sheetViews>
    <sheetView zoomScale="77" zoomScaleNormal="77" workbookViewId="0">
      <selection activeCell="N6" sqref="N6"/>
    </sheetView>
  </sheetViews>
  <sheetFormatPr defaultRowHeight="15"/>
  <cols>
    <col min="1" max="1" width="5" customWidth="1"/>
    <col min="2" max="2" width="3.140625" customWidth="1"/>
    <col min="3" max="3" width="11.5703125" customWidth="1"/>
    <col min="4" max="4" width="16.28515625" customWidth="1"/>
    <col min="5" max="5" width="7.140625" customWidth="1"/>
    <col min="6" max="6" width="10.85546875" customWidth="1"/>
    <col min="7" max="7" width="9.140625" customWidth="1"/>
    <col min="9" max="9" width="5.42578125" customWidth="1"/>
    <col min="10" max="10" width="4.7109375" customWidth="1"/>
    <col min="11" max="11" width="11.5703125" customWidth="1"/>
    <col min="12" max="12" width="11" customWidth="1"/>
    <col min="13" max="13" width="10.42578125" customWidth="1"/>
    <col min="14" max="14" width="12.140625" customWidth="1"/>
    <col min="15" max="15" width="13.7109375" customWidth="1"/>
    <col min="16" max="16" width="12.140625" customWidth="1"/>
    <col min="19" max="19" width="5" customWidth="1"/>
    <col min="23" max="23" width="11" customWidth="1"/>
    <col min="26" max="26" width="10.7109375" customWidth="1"/>
  </cols>
  <sheetData>
    <row r="4" spans="1:27" ht="15.75" thickBot="1"/>
    <row r="5" spans="1:27" ht="34.5" thickBot="1">
      <c r="A5" s="179" t="s">
        <v>101</v>
      </c>
      <c r="B5" s="178"/>
      <c r="C5" s="178"/>
      <c r="D5" s="178"/>
      <c r="E5" s="178"/>
      <c r="F5" s="178"/>
      <c r="G5" s="178"/>
      <c r="H5" s="178"/>
      <c r="I5" s="176" t="s">
        <v>109</v>
      </c>
      <c r="J5" s="177"/>
      <c r="K5" s="177"/>
      <c r="L5" s="178"/>
      <c r="M5" s="178"/>
      <c r="N5" s="178"/>
      <c r="O5" s="178"/>
      <c r="P5" s="178"/>
      <c r="Q5" s="178"/>
    </row>
    <row r="6" spans="1:27" ht="18.75" customHeight="1">
      <c r="A6" s="120"/>
      <c r="B6" s="115"/>
      <c r="C6" s="115"/>
      <c r="D6" s="118" t="s">
        <v>105</v>
      </c>
      <c r="E6" s="115" t="s">
        <v>118</v>
      </c>
      <c r="F6" s="192" t="s">
        <v>103</v>
      </c>
      <c r="G6" s="122" t="s">
        <v>106</v>
      </c>
      <c r="H6" s="144" t="s">
        <v>108</v>
      </c>
      <c r="I6" s="123"/>
      <c r="J6" s="188" t="s">
        <v>104</v>
      </c>
      <c r="K6" s="189"/>
      <c r="L6" s="183" t="s">
        <v>105</v>
      </c>
      <c r="M6" s="137" t="s">
        <v>111</v>
      </c>
      <c r="N6" s="142" t="s">
        <v>117</v>
      </c>
      <c r="O6" s="186" t="s">
        <v>103</v>
      </c>
      <c r="P6" s="138" t="s">
        <v>106</v>
      </c>
      <c r="Q6" s="142" t="s">
        <v>108</v>
      </c>
    </row>
    <row r="7" spans="1:27" ht="15.75" customHeight="1" thickBot="1">
      <c r="A7" s="119"/>
      <c r="B7" s="116" t="s">
        <v>104</v>
      </c>
      <c r="C7" s="117"/>
      <c r="D7" s="119"/>
      <c r="E7" s="143" t="s">
        <v>119</v>
      </c>
      <c r="F7" s="193"/>
      <c r="G7" s="121" t="s">
        <v>107</v>
      </c>
      <c r="H7" s="145" t="s">
        <v>112</v>
      </c>
      <c r="I7" s="146" t="s">
        <v>4</v>
      </c>
      <c r="J7" s="190"/>
      <c r="K7" s="191"/>
      <c r="L7" s="184"/>
      <c r="M7" s="140"/>
      <c r="N7" s="140"/>
      <c r="O7" s="187"/>
      <c r="P7" s="139" t="s">
        <v>107</v>
      </c>
      <c r="Q7" s="159" t="s">
        <v>122</v>
      </c>
      <c r="S7" s="111"/>
      <c r="T7" s="111"/>
      <c r="U7" s="111"/>
      <c r="V7" s="111"/>
      <c r="W7" s="158"/>
      <c r="X7" s="173"/>
      <c r="Y7" s="173"/>
      <c r="Z7" s="173"/>
      <c r="AA7" s="111"/>
    </row>
    <row r="8" spans="1:27" ht="15.75" thickBot="1">
      <c r="A8" s="16">
        <v>1</v>
      </c>
      <c r="B8" s="175" t="s">
        <v>16</v>
      </c>
      <c r="C8" s="175"/>
      <c r="D8" s="126"/>
      <c r="E8" s="20"/>
      <c r="F8" s="124"/>
      <c r="G8" s="141"/>
      <c r="H8" s="20"/>
      <c r="I8" s="132">
        <v>7</v>
      </c>
      <c r="J8" s="180" t="s">
        <v>41</v>
      </c>
      <c r="K8" s="181"/>
      <c r="L8" s="136">
        <v>10</v>
      </c>
      <c r="M8" s="136">
        <v>5</v>
      </c>
      <c r="N8" s="136">
        <v>6</v>
      </c>
      <c r="O8" s="132"/>
      <c r="P8" s="134"/>
      <c r="Q8" s="132"/>
      <c r="S8" s="111"/>
      <c r="T8" s="111"/>
      <c r="U8" s="111"/>
      <c r="V8" s="111"/>
      <c r="W8" s="158"/>
      <c r="X8" s="111"/>
      <c r="Y8" s="111"/>
      <c r="Z8" s="111"/>
      <c r="AA8" s="111"/>
    </row>
    <row r="9" spans="1:27">
      <c r="A9" s="16"/>
      <c r="C9" s="113" t="s">
        <v>102</v>
      </c>
      <c r="D9" s="16">
        <v>2000000</v>
      </c>
      <c r="E9" s="21">
        <v>0</v>
      </c>
      <c r="F9" s="16">
        <v>2000000</v>
      </c>
      <c r="G9" s="15">
        <v>0</v>
      </c>
      <c r="H9" s="21">
        <v>0</v>
      </c>
      <c r="I9" s="17"/>
      <c r="K9" s="129" t="s">
        <v>102</v>
      </c>
      <c r="L9">
        <f>$L$8*P9</f>
        <v>32450.000000000004</v>
      </c>
      <c r="M9" s="16">
        <f>$M$8*P9</f>
        <v>16225.000000000002</v>
      </c>
      <c r="N9" s="16">
        <f>$N$8*P9</f>
        <v>19470.000000000004</v>
      </c>
      <c r="O9" s="16">
        <v>64900.000000000007</v>
      </c>
      <c r="P9">
        <v>3245.0000000000005</v>
      </c>
      <c r="Q9" s="15">
        <v>7</v>
      </c>
      <c r="W9" s="21"/>
    </row>
    <row r="10" spans="1:27">
      <c r="A10" s="16"/>
      <c r="C10" s="113" t="s">
        <v>8</v>
      </c>
      <c r="D10" s="16">
        <v>2000000</v>
      </c>
      <c r="E10" s="21">
        <v>0</v>
      </c>
      <c r="F10" s="16">
        <v>2000000</v>
      </c>
      <c r="G10" s="15">
        <v>0</v>
      </c>
      <c r="H10" s="21">
        <v>0</v>
      </c>
      <c r="I10" s="16"/>
      <c r="K10" s="129" t="s">
        <v>8</v>
      </c>
      <c r="L10">
        <f>$L$8*P10</f>
        <v>20650</v>
      </c>
      <c r="M10" s="16">
        <f>$M$8*P10</f>
        <v>10325</v>
      </c>
      <c r="N10" s="16">
        <f t="shared" ref="N10:N73" si="0">$N$8*P10</f>
        <v>12390</v>
      </c>
      <c r="O10" s="16">
        <v>41300</v>
      </c>
      <c r="P10">
        <v>2065</v>
      </c>
      <c r="Q10" s="15">
        <v>7</v>
      </c>
      <c r="W10" s="21"/>
    </row>
    <row r="11" spans="1:27">
      <c r="A11" s="16"/>
      <c r="C11" s="113" t="s">
        <v>9</v>
      </c>
      <c r="D11" s="16">
        <v>2000000</v>
      </c>
      <c r="E11" s="21">
        <v>0</v>
      </c>
      <c r="F11" s="16">
        <v>2000000</v>
      </c>
      <c r="G11" s="15">
        <v>0</v>
      </c>
      <c r="H11" s="21">
        <v>0</v>
      </c>
      <c r="I11" s="16"/>
      <c r="K11" s="129" t="s">
        <v>9</v>
      </c>
      <c r="L11">
        <f>$L$8*P11</f>
        <v>5900</v>
      </c>
      <c r="M11" s="16">
        <f>$M$8*P11</f>
        <v>2950</v>
      </c>
      <c r="N11" s="16">
        <f t="shared" si="0"/>
        <v>3540</v>
      </c>
      <c r="O11" s="16">
        <v>11800</v>
      </c>
      <c r="P11">
        <v>590</v>
      </c>
      <c r="Q11" s="15">
        <v>7</v>
      </c>
    </row>
    <row r="12" spans="1:27">
      <c r="A12" s="16">
        <v>2</v>
      </c>
      <c r="B12" s="185" t="s">
        <v>14</v>
      </c>
      <c r="C12" s="185"/>
      <c r="D12" s="124"/>
      <c r="E12" s="125"/>
      <c r="F12" s="124"/>
      <c r="G12" s="141"/>
      <c r="H12" s="125"/>
      <c r="I12" s="130">
        <v>8</v>
      </c>
      <c r="J12" s="171" t="s">
        <v>42</v>
      </c>
      <c r="K12" s="182"/>
      <c r="L12" s="171"/>
      <c r="M12" s="182"/>
      <c r="N12" s="130"/>
      <c r="O12" s="130"/>
      <c r="P12" s="127"/>
      <c r="Q12" s="133"/>
    </row>
    <row r="13" spans="1:27">
      <c r="A13" s="16"/>
      <c r="C13" s="113" t="s">
        <v>102</v>
      </c>
      <c r="D13" s="16">
        <v>2000000</v>
      </c>
      <c r="E13" s="21">
        <v>0</v>
      </c>
      <c r="F13" s="16">
        <v>2000000</v>
      </c>
      <c r="G13" s="15">
        <v>0</v>
      </c>
      <c r="H13" s="21">
        <v>0</v>
      </c>
      <c r="I13" s="16"/>
      <c r="K13" s="129" t="s">
        <v>102</v>
      </c>
      <c r="L13">
        <f>$L$8*P13</f>
        <v>55000.000000000007</v>
      </c>
      <c r="M13" s="16">
        <f>$M$8*P13</f>
        <v>27500.000000000004</v>
      </c>
      <c r="N13" s="16">
        <f t="shared" si="0"/>
        <v>33000.000000000007</v>
      </c>
      <c r="O13" s="16">
        <v>110000.00000000001</v>
      </c>
      <c r="P13">
        <v>5500.0000000000009</v>
      </c>
      <c r="Q13" s="15">
        <v>7</v>
      </c>
      <c r="S13" s="113"/>
    </row>
    <row r="14" spans="1:27">
      <c r="A14" s="16"/>
      <c r="C14" s="113" t="s">
        <v>8</v>
      </c>
      <c r="D14" s="16">
        <v>2000000</v>
      </c>
      <c r="E14" s="21">
        <v>0</v>
      </c>
      <c r="F14" s="16">
        <v>2000000</v>
      </c>
      <c r="G14" s="15">
        <v>0</v>
      </c>
      <c r="H14" s="21">
        <v>0</v>
      </c>
      <c r="I14" s="16"/>
      <c r="K14" s="129" t="s">
        <v>8</v>
      </c>
      <c r="L14">
        <f>$L$8*P14</f>
        <v>35000</v>
      </c>
      <c r="M14" s="16">
        <f>$M$8*P14</f>
        <v>17500</v>
      </c>
      <c r="N14" s="16">
        <f t="shared" si="0"/>
        <v>21000</v>
      </c>
      <c r="O14" s="16">
        <v>70000</v>
      </c>
      <c r="P14">
        <v>3500</v>
      </c>
      <c r="Q14" s="15">
        <v>7</v>
      </c>
    </row>
    <row r="15" spans="1:27">
      <c r="A15" s="16"/>
      <c r="C15" s="113" t="s">
        <v>9</v>
      </c>
      <c r="D15" s="16">
        <v>2000000</v>
      </c>
      <c r="E15" s="21">
        <v>0</v>
      </c>
      <c r="F15" s="16">
        <v>2000000</v>
      </c>
      <c r="G15" s="15">
        <v>0</v>
      </c>
      <c r="H15" s="21">
        <v>0</v>
      </c>
      <c r="I15" s="16"/>
      <c r="K15" s="129" t="s">
        <v>9</v>
      </c>
      <c r="L15">
        <f>$L$8*P15</f>
        <v>10000</v>
      </c>
      <c r="M15" s="16">
        <f>$M$8*P15</f>
        <v>5000</v>
      </c>
      <c r="N15" s="16">
        <f t="shared" si="0"/>
        <v>6000</v>
      </c>
      <c r="O15" s="16">
        <v>20000</v>
      </c>
      <c r="P15">
        <v>1000</v>
      </c>
      <c r="Q15" s="15">
        <v>7</v>
      </c>
    </row>
    <row r="16" spans="1:27">
      <c r="A16" s="16">
        <v>3</v>
      </c>
      <c r="B16" s="175" t="s">
        <v>13</v>
      </c>
      <c r="C16" s="175"/>
      <c r="D16" s="124"/>
      <c r="E16" s="125"/>
      <c r="F16" s="124"/>
      <c r="G16" s="141"/>
      <c r="H16" s="125"/>
      <c r="I16" s="130">
        <v>9</v>
      </c>
      <c r="J16" s="171" t="s">
        <v>43</v>
      </c>
      <c r="K16" s="172"/>
      <c r="L16" s="171"/>
      <c r="M16" s="172"/>
      <c r="N16" s="130"/>
      <c r="O16" s="130"/>
      <c r="P16" s="127"/>
      <c r="Q16" s="133"/>
    </row>
    <row r="17" spans="1:17">
      <c r="A17" s="16"/>
      <c r="C17" s="113" t="s">
        <v>102</v>
      </c>
      <c r="D17" s="16">
        <v>2000000</v>
      </c>
      <c r="E17" s="21">
        <v>0</v>
      </c>
      <c r="F17" s="16">
        <v>2000000</v>
      </c>
      <c r="G17" s="15">
        <v>0</v>
      </c>
      <c r="H17" s="21">
        <v>0</v>
      </c>
      <c r="I17" s="16"/>
      <c r="K17" s="129" t="s">
        <v>102</v>
      </c>
      <c r="L17">
        <f>$L$8*P17</f>
        <v>26250</v>
      </c>
      <c r="M17" s="16">
        <f>$M$8*P17</f>
        <v>13125</v>
      </c>
      <c r="N17" s="16">
        <f t="shared" si="0"/>
        <v>15750</v>
      </c>
      <c r="O17" s="16">
        <v>52500</v>
      </c>
      <c r="P17">
        <v>2625</v>
      </c>
      <c r="Q17" s="15">
        <v>7</v>
      </c>
    </row>
    <row r="18" spans="1:17">
      <c r="A18" s="16"/>
      <c r="C18" s="113" t="s">
        <v>8</v>
      </c>
      <c r="D18" s="16">
        <v>2000000</v>
      </c>
      <c r="E18" s="21">
        <v>0</v>
      </c>
      <c r="F18" s="16">
        <v>2000000</v>
      </c>
      <c r="G18" s="15">
        <v>0</v>
      </c>
      <c r="H18" s="21">
        <v>0</v>
      </c>
      <c r="I18" s="16"/>
      <c r="K18" s="129" t="s">
        <v>8</v>
      </c>
      <c r="L18">
        <f>$L$8*P18</f>
        <v>12250</v>
      </c>
      <c r="M18" s="16">
        <f>$M$8*P18</f>
        <v>6125</v>
      </c>
      <c r="N18" s="16">
        <f t="shared" si="0"/>
        <v>7350</v>
      </c>
      <c r="O18" s="16">
        <v>24500</v>
      </c>
      <c r="P18">
        <v>1225</v>
      </c>
      <c r="Q18" s="15">
        <v>7</v>
      </c>
    </row>
    <row r="19" spans="1:17">
      <c r="A19" s="16"/>
      <c r="C19" s="113" t="s">
        <v>9</v>
      </c>
      <c r="D19" s="16">
        <v>2000000</v>
      </c>
      <c r="E19" s="21">
        <v>0</v>
      </c>
      <c r="F19" s="16">
        <v>2000000</v>
      </c>
      <c r="G19" s="15">
        <v>0</v>
      </c>
      <c r="H19" s="21">
        <v>0</v>
      </c>
      <c r="I19" s="16"/>
      <c r="K19" s="129" t="s">
        <v>9</v>
      </c>
      <c r="L19">
        <f>$L$8*P19</f>
        <v>35000</v>
      </c>
      <c r="M19" s="16">
        <f>$M$8*P19</f>
        <v>17500</v>
      </c>
      <c r="N19" s="16">
        <f t="shared" si="0"/>
        <v>21000</v>
      </c>
      <c r="O19" s="16">
        <v>33000</v>
      </c>
      <c r="P19">
        <v>3500</v>
      </c>
      <c r="Q19" s="15">
        <v>7</v>
      </c>
    </row>
    <row r="20" spans="1:17">
      <c r="A20" s="16">
        <v>4</v>
      </c>
      <c r="B20" s="175" t="s">
        <v>45</v>
      </c>
      <c r="C20" s="175"/>
      <c r="D20" s="124"/>
      <c r="E20" s="125"/>
      <c r="F20" s="124"/>
      <c r="G20" s="141"/>
      <c r="H20" s="125"/>
      <c r="I20" s="130">
        <v>10</v>
      </c>
      <c r="J20" s="171" t="s">
        <v>44</v>
      </c>
      <c r="K20" s="172"/>
      <c r="L20" s="171"/>
      <c r="M20" s="172"/>
      <c r="N20" s="130"/>
      <c r="O20" s="130"/>
      <c r="P20" s="127"/>
      <c r="Q20" s="133"/>
    </row>
    <row r="21" spans="1:17">
      <c r="A21" s="16"/>
      <c r="C21" s="113" t="s">
        <v>102</v>
      </c>
      <c r="D21" s="16">
        <v>2000000</v>
      </c>
      <c r="E21" s="21">
        <v>0</v>
      </c>
      <c r="F21" s="16">
        <v>2000000</v>
      </c>
      <c r="G21" s="15">
        <v>0</v>
      </c>
      <c r="H21" s="21">
        <v>0</v>
      </c>
      <c r="I21" s="16"/>
      <c r="K21" s="129" t="s">
        <v>102</v>
      </c>
      <c r="L21">
        <f>$L$8*P21</f>
        <v>26250</v>
      </c>
      <c r="M21" s="16">
        <f>$M$8*P21</f>
        <v>13125</v>
      </c>
      <c r="N21" s="16">
        <f t="shared" si="0"/>
        <v>15750</v>
      </c>
      <c r="O21" s="16">
        <v>75000</v>
      </c>
      <c r="P21">
        <v>2625</v>
      </c>
      <c r="Q21" s="15">
        <v>7</v>
      </c>
    </row>
    <row r="22" spans="1:17">
      <c r="A22" s="16"/>
      <c r="C22" s="113" t="s">
        <v>8</v>
      </c>
      <c r="D22" s="16">
        <v>2000000</v>
      </c>
      <c r="E22" s="21">
        <v>0</v>
      </c>
      <c r="F22" s="16">
        <v>2000000</v>
      </c>
      <c r="G22" s="15">
        <v>0</v>
      </c>
      <c r="H22" s="21">
        <v>0</v>
      </c>
      <c r="I22" s="16"/>
      <c r="K22" s="129" t="s">
        <v>8</v>
      </c>
      <c r="L22">
        <f>$L$8*P22</f>
        <v>12250</v>
      </c>
      <c r="M22" s="16">
        <f>$M$8*P22</f>
        <v>6125</v>
      </c>
      <c r="N22" s="16">
        <f t="shared" si="0"/>
        <v>7350</v>
      </c>
      <c r="O22" s="16">
        <v>45000</v>
      </c>
      <c r="P22">
        <v>1225</v>
      </c>
      <c r="Q22" s="15">
        <v>7</v>
      </c>
    </row>
    <row r="23" spans="1:17">
      <c r="A23" s="16"/>
      <c r="C23" s="113" t="s">
        <v>9</v>
      </c>
      <c r="D23" s="16">
        <v>2000000</v>
      </c>
      <c r="E23" s="21">
        <v>0</v>
      </c>
      <c r="F23" s="16">
        <v>2000000</v>
      </c>
      <c r="G23" s="15">
        <v>0</v>
      </c>
      <c r="H23" s="21">
        <v>0</v>
      </c>
      <c r="I23" s="16"/>
      <c r="K23" s="129" t="s">
        <v>9</v>
      </c>
      <c r="L23">
        <f>$L$8*P23</f>
        <v>35000</v>
      </c>
      <c r="M23" s="16">
        <f>$M$8*P23</f>
        <v>17500</v>
      </c>
      <c r="N23" s="16">
        <f t="shared" si="0"/>
        <v>21000</v>
      </c>
      <c r="O23" s="16">
        <v>30000</v>
      </c>
      <c r="P23">
        <v>3500</v>
      </c>
      <c r="Q23" s="15">
        <v>7</v>
      </c>
    </row>
    <row r="24" spans="1:17">
      <c r="A24" s="16">
        <v>5</v>
      </c>
      <c r="B24" s="175" t="s">
        <v>47</v>
      </c>
      <c r="C24" s="175"/>
      <c r="D24" s="124"/>
      <c r="E24" s="125"/>
      <c r="F24" s="124"/>
      <c r="G24" s="141"/>
      <c r="H24" s="125"/>
      <c r="I24" s="130">
        <v>11</v>
      </c>
      <c r="J24" s="171" t="s">
        <v>46</v>
      </c>
      <c r="K24" s="172"/>
      <c r="L24" s="171"/>
      <c r="M24" s="172"/>
      <c r="N24" s="130"/>
      <c r="O24" s="130"/>
      <c r="P24" s="127"/>
      <c r="Q24" s="133"/>
    </row>
    <row r="25" spans="1:17">
      <c r="A25" s="16"/>
      <c r="C25" s="113" t="s">
        <v>102</v>
      </c>
      <c r="D25" s="16">
        <v>2000000</v>
      </c>
      <c r="E25" s="21">
        <v>0</v>
      </c>
      <c r="F25" s="16">
        <v>2000000</v>
      </c>
      <c r="G25" s="15">
        <v>0</v>
      </c>
      <c r="H25" s="21">
        <v>0</v>
      </c>
      <c r="I25" s="16"/>
      <c r="K25" s="129" t="s">
        <v>102</v>
      </c>
      <c r="L25">
        <f>$L$8*P25</f>
        <v>125000</v>
      </c>
      <c r="M25" s="16">
        <f>$M$8*P25</f>
        <v>62500</v>
      </c>
      <c r="N25" s="16">
        <f t="shared" si="0"/>
        <v>75000</v>
      </c>
      <c r="O25" s="16">
        <v>250000</v>
      </c>
      <c r="P25">
        <v>12500</v>
      </c>
      <c r="Q25" s="15">
        <v>7</v>
      </c>
    </row>
    <row r="26" spans="1:17">
      <c r="A26" s="16"/>
      <c r="C26" s="113" t="s">
        <v>8</v>
      </c>
      <c r="D26" s="16">
        <v>2000000</v>
      </c>
      <c r="E26" s="21">
        <v>0</v>
      </c>
      <c r="F26" s="16">
        <v>2000000</v>
      </c>
      <c r="G26" s="15">
        <v>0</v>
      </c>
      <c r="H26" s="21">
        <v>0</v>
      </c>
      <c r="I26" s="16"/>
      <c r="K26" s="129" t="s">
        <v>8</v>
      </c>
      <c r="L26">
        <f>$L$8*P26</f>
        <v>75000</v>
      </c>
      <c r="M26" s="16">
        <f>$M$8*P26</f>
        <v>37500</v>
      </c>
      <c r="N26" s="16">
        <f t="shared" si="0"/>
        <v>45000</v>
      </c>
      <c r="O26" s="16">
        <v>150000</v>
      </c>
      <c r="P26">
        <v>7500</v>
      </c>
      <c r="Q26" s="15">
        <v>7</v>
      </c>
    </row>
    <row r="27" spans="1:17">
      <c r="A27" s="16"/>
      <c r="C27" s="113" t="s">
        <v>9</v>
      </c>
      <c r="D27" s="16">
        <v>2000000</v>
      </c>
      <c r="E27" s="21">
        <v>0</v>
      </c>
      <c r="F27" s="16">
        <v>2000000</v>
      </c>
      <c r="G27" s="15">
        <v>0</v>
      </c>
      <c r="H27" s="21">
        <v>0</v>
      </c>
      <c r="I27" s="16"/>
      <c r="K27" s="129" t="s">
        <v>9</v>
      </c>
      <c r="L27">
        <f>$L$8*P27</f>
        <v>0</v>
      </c>
      <c r="M27" s="16">
        <f>$M$8*P27</f>
        <v>0</v>
      </c>
      <c r="N27" s="16">
        <f t="shared" si="0"/>
        <v>0</v>
      </c>
      <c r="O27" s="16">
        <v>0</v>
      </c>
      <c r="P27">
        <v>0</v>
      </c>
      <c r="Q27" s="15">
        <v>7</v>
      </c>
    </row>
    <row r="28" spans="1:17" ht="15.75" thickBot="1">
      <c r="A28" s="16">
        <v>6</v>
      </c>
      <c r="B28" s="175" t="s">
        <v>17</v>
      </c>
      <c r="C28" s="175"/>
      <c r="D28" s="124"/>
      <c r="E28" s="125"/>
      <c r="F28" s="124"/>
      <c r="G28" s="141"/>
      <c r="H28" s="125"/>
      <c r="I28" s="130">
        <v>12</v>
      </c>
      <c r="J28" s="171" t="s">
        <v>48</v>
      </c>
      <c r="K28" s="172"/>
      <c r="L28" s="171"/>
      <c r="M28" s="172"/>
      <c r="N28" s="130"/>
      <c r="O28" s="130"/>
      <c r="P28" s="127"/>
      <c r="Q28" s="133"/>
    </row>
    <row r="29" spans="1:17">
      <c r="A29" s="16"/>
      <c r="C29" s="113" t="s">
        <v>102</v>
      </c>
      <c r="D29" s="16">
        <v>2000000</v>
      </c>
      <c r="E29" s="21">
        <v>0</v>
      </c>
      <c r="F29" s="16">
        <v>2000000</v>
      </c>
      <c r="G29" s="15">
        <v>0</v>
      </c>
      <c r="H29" s="21">
        <v>0</v>
      </c>
      <c r="I29" s="16"/>
      <c r="K29" s="129" t="s">
        <v>102</v>
      </c>
      <c r="L29">
        <f>$L$8*P29</f>
        <v>39550</v>
      </c>
      <c r="M29" s="16">
        <f>$M$8*P29</f>
        <v>19775</v>
      </c>
      <c r="N29" s="3">
        <f t="shared" si="0"/>
        <v>23730</v>
      </c>
      <c r="O29" s="17">
        <v>79100</v>
      </c>
      <c r="P29">
        <v>3955</v>
      </c>
      <c r="Q29" s="15">
        <v>7</v>
      </c>
    </row>
    <row r="30" spans="1:17">
      <c r="A30" s="16"/>
      <c r="C30" s="113" t="s">
        <v>8</v>
      </c>
      <c r="D30" s="16">
        <v>2000000</v>
      </c>
      <c r="E30" s="21">
        <v>0</v>
      </c>
      <c r="F30" s="16">
        <v>2000000</v>
      </c>
      <c r="G30" s="15">
        <v>0</v>
      </c>
      <c r="H30" s="21">
        <v>0</v>
      </c>
      <c r="I30" s="16"/>
      <c r="K30" s="129" t="s">
        <v>8</v>
      </c>
      <c r="L30">
        <f>$L$8*P30</f>
        <v>16950</v>
      </c>
      <c r="M30" s="16">
        <f>$M$8*P30</f>
        <v>8475</v>
      </c>
      <c r="N30" s="3">
        <f t="shared" si="0"/>
        <v>10170</v>
      </c>
      <c r="O30" s="16">
        <v>33900</v>
      </c>
      <c r="P30">
        <v>1695</v>
      </c>
      <c r="Q30" s="15">
        <v>7</v>
      </c>
    </row>
    <row r="31" spans="1:17" ht="15.75" thickBot="1">
      <c r="A31" s="18"/>
      <c r="B31" s="5"/>
      <c r="C31" s="114" t="s">
        <v>9</v>
      </c>
      <c r="D31" s="18">
        <v>2000000</v>
      </c>
      <c r="E31" s="41">
        <v>0</v>
      </c>
      <c r="F31" s="18">
        <v>2000000</v>
      </c>
      <c r="G31" s="14">
        <v>0</v>
      </c>
      <c r="H31" s="41">
        <v>0</v>
      </c>
      <c r="I31" s="16"/>
      <c r="K31" s="129" t="s">
        <v>9</v>
      </c>
      <c r="L31">
        <f>$L$8*P31</f>
        <v>0</v>
      </c>
      <c r="M31" s="16">
        <f>$M$8*P31</f>
        <v>0</v>
      </c>
      <c r="N31" s="3">
        <f t="shared" si="0"/>
        <v>0</v>
      </c>
      <c r="O31" s="18">
        <v>0</v>
      </c>
      <c r="P31">
        <v>0</v>
      </c>
      <c r="Q31" s="15">
        <v>7</v>
      </c>
    </row>
    <row r="32" spans="1:17">
      <c r="E32" s="21"/>
      <c r="I32" s="130">
        <v>13</v>
      </c>
      <c r="J32" s="171" t="s">
        <v>110</v>
      </c>
      <c r="K32" s="172"/>
      <c r="L32" s="171"/>
      <c r="M32" s="172"/>
      <c r="N32" s="130"/>
      <c r="O32" s="123"/>
      <c r="P32" s="127"/>
      <c r="Q32" s="133"/>
    </row>
    <row r="33" spans="3:17">
      <c r="C33" s="113"/>
      <c r="E33" s="21"/>
      <c r="I33" s="16"/>
      <c r="K33" s="129" t="s">
        <v>102</v>
      </c>
      <c r="L33">
        <f>$L$8*P33</f>
        <v>90000</v>
      </c>
      <c r="M33" s="16">
        <f>$M$8*P33</f>
        <v>45000</v>
      </c>
      <c r="N33" s="16">
        <f t="shared" si="0"/>
        <v>54000</v>
      </c>
      <c r="O33" s="16">
        <v>180000</v>
      </c>
      <c r="P33">
        <v>9000</v>
      </c>
      <c r="Q33" s="15">
        <v>7</v>
      </c>
    </row>
    <row r="34" spans="3:17">
      <c r="C34" s="113"/>
      <c r="E34" s="21"/>
      <c r="I34" s="16"/>
      <c r="K34" s="129" t="s">
        <v>8</v>
      </c>
      <c r="L34">
        <f>$L$8*P34</f>
        <v>37500</v>
      </c>
      <c r="M34" s="16">
        <f>$M$8*P34</f>
        <v>18750</v>
      </c>
      <c r="N34" s="16">
        <f t="shared" si="0"/>
        <v>22500</v>
      </c>
      <c r="O34" s="16">
        <v>75000</v>
      </c>
      <c r="P34">
        <v>3750</v>
      </c>
      <c r="Q34" s="15">
        <v>7</v>
      </c>
    </row>
    <row r="35" spans="3:17" ht="15.75" thickBot="1">
      <c r="C35" s="113"/>
      <c r="E35" s="21"/>
      <c r="I35" s="16"/>
      <c r="K35" s="129" t="s">
        <v>9</v>
      </c>
      <c r="L35">
        <f>$L$8*P35</f>
        <v>22500</v>
      </c>
      <c r="M35" s="16">
        <f>$M$8*P35</f>
        <v>11250</v>
      </c>
      <c r="N35" s="16">
        <f t="shared" si="0"/>
        <v>13500</v>
      </c>
      <c r="O35" s="18">
        <v>45000</v>
      </c>
      <c r="P35">
        <v>2250</v>
      </c>
      <c r="Q35" s="15">
        <v>7</v>
      </c>
    </row>
    <row r="36" spans="3:17">
      <c r="I36" s="130">
        <v>14</v>
      </c>
      <c r="J36" s="171" t="s">
        <v>50</v>
      </c>
      <c r="K36" s="172"/>
      <c r="L36" s="171"/>
      <c r="M36" s="172"/>
      <c r="N36" s="130"/>
      <c r="O36" s="130"/>
      <c r="P36" s="127"/>
      <c r="Q36" s="133"/>
    </row>
    <row r="37" spans="3:17">
      <c r="I37" s="16"/>
      <c r="K37" s="129" t="s">
        <v>102</v>
      </c>
      <c r="L37">
        <f>$L$8*P37</f>
        <v>150050</v>
      </c>
      <c r="M37" s="16">
        <f>$M$8*P37</f>
        <v>75025</v>
      </c>
      <c r="N37" s="16">
        <f t="shared" si="0"/>
        <v>90030</v>
      </c>
      <c r="O37" s="16">
        <v>300100</v>
      </c>
      <c r="P37">
        <v>15005</v>
      </c>
      <c r="Q37" s="15">
        <v>7</v>
      </c>
    </row>
    <row r="38" spans="3:17">
      <c r="I38" s="16"/>
      <c r="K38" s="129" t="s">
        <v>8</v>
      </c>
      <c r="L38">
        <f>$L$8*P38</f>
        <v>82527.5</v>
      </c>
      <c r="M38" s="16">
        <f>$M$8*P38</f>
        <v>41263.75</v>
      </c>
      <c r="N38" s="16">
        <f t="shared" si="0"/>
        <v>49516.5</v>
      </c>
      <c r="O38" s="16">
        <v>165055</v>
      </c>
      <c r="P38">
        <v>8252.75</v>
      </c>
      <c r="Q38" s="15">
        <v>7</v>
      </c>
    </row>
    <row r="39" spans="3:17">
      <c r="I39" s="16"/>
      <c r="K39" s="129" t="s">
        <v>9</v>
      </c>
      <c r="L39">
        <f>$L$8*P39</f>
        <v>45390.125000000007</v>
      </c>
      <c r="M39" s="16">
        <f>$M$8*P39</f>
        <v>22695.062500000004</v>
      </c>
      <c r="N39" s="16">
        <f t="shared" si="0"/>
        <v>27234.075000000004</v>
      </c>
      <c r="O39" s="16">
        <v>90780.250000000015</v>
      </c>
      <c r="P39">
        <v>4539.0125000000007</v>
      </c>
      <c r="Q39" s="15">
        <v>7</v>
      </c>
    </row>
    <row r="40" spans="3:17">
      <c r="I40" s="130">
        <v>15</v>
      </c>
      <c r="J40" s="171" t="s">
        <v>51</v>
      </c>
      <c r="K40" s="172"/>
      <c r="L40" s="171"/>
      <c r="M40" s="172"/>
      <c r="N40" s="130"/>
      <c r="O40" s="130"/>
      <c r="P40" s="127"/>
      <c r="Q40" s="133"/>
    </row>
    <row r="41" spans="3:17">
      <c r="I41" s="16"/>
      <c r="K41" s="129" t="s">
        <v>102</v>
      </c>
      <c r="L41">
        <f>$L$8*P41</f>
        <v>31500</v>
      </c>
      <c r="M41" s="16">
        <f>$M$8*P41</f>
        <v>15750</v>
      </c>
      <c r="N41" s="16">
        <f t="shared" si="0"/>
        <v>18900</v>
      </c>
      <c r="O41" s="16">
        <v>63000</v>
      </c>
      <c r="P41">
        <v>3150</v>
      </c>
      <c r="Q41" s="15">
        <v>7</v>
      </c>
    </row>
    <row r="42" spans="3:17">
      <c r="I42" s="16"/>
      <c r="K42" s="129" t="s">
        <v>8</v>
      </c>
      <c r="L42">
        <f>$L$8*P42</f>
        <v>12500</v>
      </c>
      <c r="M42" s="16">
        <f>$M$8*P42</f>
        <v>6250</v>
      </c>
      <c r="N42" s="16">
        <f t="shared" si="0"/>
        <v>7500</v>
      </c>
      <c r="O42" s="16">
        <v>25000</v>
      </c>
      <c r="P42">
        <v>1250</v>
      </c>
      <c r="Q42" s="15">
        <v>7</v>
      </c>
    </row>
    <row r="43" spans="3:17">
      <c r="I43" s="16"/>
      <c r="K43" s="129" t="s">
        <v>9</v>
      </c>
      <c r="L43">
        <f>$L$8*P43</f>
        <v>6000</v>
      </c>
      <c r="M43" s="16">
        <f>$M$8*P43</f>
        <v>3000</v>
      </c>
      <c r="N43" s="16">
        <f t="shared" si="0"/>
        <v>3600</v>
      </c>
      <c r="O43" s="16">
        <v>12000</v>
      </c>
      <c r="P43">
        <v>600</v>
      </c>
      <c r="Q43" s="15">
        <v>7</v>
      </c>
    </row>
    <row r="44" spans="3:17">
      <c r="I44" s="130">
        <v>16</v>
      </c>
      <c r="J44" s="171" t="s">
        <v>52</v>
      </c>
      <c r="K44" s="172"/>
      <c r="L44" s="171"/>
      <c r="M44" s="172"/>
      <c r="N44" s="130"/>
      <c r="O44" s="130"/>
      <c r="P44" s="127"/>
      <c r="Q44" s="133"/>
    </row>
    <row r="45" spans="3:17">
      <c r="I45" s="16"/>
      <c r="K45" s="129" t="s">
        <v>102</v>
      </c>
      <c r="L45">
        <f>$L$8*P45</f>
        <v>213280</v>
      </c>
      <c r="M45" s="16">
        <f>$M$8*P45</f>
        <v>106640</v>
      </c>
      <c r="N45" s="16">
        <f t="shared" si="0"/>
        <v>127968</v>
      </c>
      <c r="O45" s="16">
        <v>426560</v>
      </c>
      <c r="P45">
        <v>21328</v>
      </c>
      <c r="Q45" s="15">
        <v>7</v>
      </c>
    </row>
    <row r="46" spans="3:17">
      <c r="I46" s="16"/>
      <c r="K46" s="129" t="s">
        <v>8</v>
      </c>
      <c r="L46">
        <f>$L$8*P46</f>
        <v>96320.000000000015</v>
      </c>
      <c r="M46" s="16">
        <f>$M$8*P46</f>
        <v>48160.000000000007</v>
      </c>
      <c r="N46" s="16">
        <f t="shared" si="0"/>
        <v>57792.000000000015</v>
      </c>
      <c r="O46" s="16">
        <v>192640.00000000003</v>
      </c>
      <c r="P46">
        <v>9632.0000000000018</v>
      </c>
      <c r="Q46" s="15">
        <v>7</v>
      </c>
    </row>
    <row r="47" spans="3:17">
      <c r="I47" s="16"/>
      <c r="K47" s="129" t="s">
        <v>9</v>
      </c>
      <c r="L47">
        <f>$L$8*P47</f>
        <v>34400</v>
      </c>
      <c r="M47" s="16">
        <f>$M$8*P47</f>
        <v>17200</v>
      </c>
      <c r="N47" s="16">
        <f t="shared" si="0"/>
        <v>20640</v>
      </c>
      <c r="O47" s="16">
        <v>68800</v>
      </c>
      <c r="P47">
        <v>3440</v>
      </c>
      <c r="Q47" s="15">
        <v>7</v>
      </c>
    </row>
    <row r="48" spans="3:17">
      <c r="I48" s="130">
        <v>17</v>
      </c>
      <c r="J48" s="171" t="s">
        <v>53</v>
      </c>
      <c r="K48" s="172"/>
      <c r="L48" s="171"/>
      <c r="M48" s="172"/>
      <c r="N48" s="130"/>
      <c r="O48" s="130"/>
      <c r="P48" s="127"/>
      <c r="Q48" s="133"/>
    </row>
    <row r="49" spans="9:17">
      <c r="I49" s="16"/>
      <c r="K49" s="129" t="s">
        <v>102</v>
      </c>
      <c r="L49">
        <f>$L$8*P49</f>
        <v>15540</v>
      </c>
      <c r="M49" s="16">
        <f>$M$8*P49</f>
        <v>7770</v>
      </c>
      <c r="N49" s="16">
        <f t="shared" si="0"/>
        <v>9324</v>
      </c>
      <c r="O49" s="16">
        <v>41383</v>
      </c>
      <c r="P49">
        <v>1554</v>
      </c>
      <c r="Q49" s="15">
        <v>7</v>
      </c>
    </row>
    <row r="50" spans="9:17">
      <c r="I50" s="16"/>
      <c r="K50" s="129" t="s">
        <v>8</v>
      </c>
      <c r="L50">
        <f>$L$8*P50</f>
        <v>30320</v>
      </c>
      <c r="M50" s="16">
        <f>$M$8*P50</f>
        <v>15160</v>
      </c>
      <c r="N50" s="16">
        <f t="shared" si="0"/>
        <v>18192</v>
      </c>
      <c r="O50" s="16">
        <v>54975</v>
      </c>
      <c r="P50">
        <v>3032</v>
      </c>
      <c r="Q50" s="15">
        <v>7</v>
      </c>
    </row>
    <row r="51" spans="9:17">
      <c r="I51" s="16"/>
      <c r="K51" s="129" t="s">
        <v>9</v>
      </c>
      <c r="L51">
        <f>$L$8*P51</f>
        <v>6140</v>
      </c>
      <c r="M51" s="16">
        <f>$M$8*P51</f>
        <v>3070</v>
      </c>
      <c r="N51" s="16">
        <f t="shared" si="0"/>
        <v>3684</v>
      </c>
      <c r="O51" s="16">
        <v>27978</v>
      </c>
      <c r="P51">
        <v>614</v>
      </c>
      <c r="Q51" s="15">
        <v>7</v>
      </c>
    </row>
    <row r="52" spans="9:17">
      <c r="I52" s="130">
        <v>18</v>
      </c>
      <c r="J52" s="171" t="s">
        <v>54</v>
      </c>
      <c r="K52" s="172"/>
      <c r="L52" s="171"/>
      <c r="M52" s="172"/>
      <c r="N52" s="130"/>
      <c r="O52" s="130"/>
      <c r="P52" s="127"/>
      <c r="Q52" s="133"/>
    </row>
    <row r="53" spans="9:17">
      <c r="I53" s="16"/>
      <c r="K53" s="129" t="s">
        <v>102</v>
      </c>
      <c r="L53">
        <f>$L$8*P53</f>
        <v>12500</v>
      </c>
      <c r="M53" s="16">
        <f>$M$8*P53</f>
        <v>6250</v>
      </c>
      <c r="N53" s="16">
        <f t="shared" si="0"/>
        <v>7500</v>
      </c>
      <c r="O53" s="16">
        <v>23818</v>
      </c>
      <c r="P53">
        <v>1250</v>
      </c>
      <c r="Q53" s="15">
        <v>7</v>
      </c>
    </row>
    <row r="54" spans="9:17">
      <c r="I54" s="16"/>
      <c r="K54" s="129" t="s">
        <v>8</v>
      </c>
      <c r="L54">
        <f>$L$8*P54</f>
        <v>7340</v>
      </c>
      <c r="M54" s="16">
        <f>$M$8*P54</f>
        <v>3670</v>
      </c>
      <c r="N54" s="16">
        <f t="shared" si="0"/>
        <v>4404</v>
      </c>
      <c r="O54" s="16">
        <v>18900</v>
      </c>
      <c r="P54">
        <v>734</v>
      </c>
      <c r="Q54" s="15">
        <v>7</v>
      </c>
    </row>
    <row r="55" spans="9:17">
      <c r="I55" s="16"/>
      <c r="K55" s="129" t="s">
        <v>9</v>
      </c>
      <c r="L55">
        <f>$L$8*P55</f>
        <v>990</v>
      </c>
      <c r="M55" s="16">
        <f>$M$8*P55</f>
        <v>495</v>
      </c>
      <c r="N55" s="16">
        <f t="shared" si="0"/>
        <v>594</v>
      </c>
      <c r="O55" s="16">
        <v>9566</v>
      </c>
      <c r="P55">
        <v>99</v>
      </c>
      <c r="Q55" s="15">
        <v>7</v>
      </c>
    </row>
    <row r="56" spans="9:17">
      <c r="I56" s="130">
        <v>19</v>
      </c>
      <c r="J56" s="171" t="s">
        <v>55</v>
      </c>
      <c r="K56" s="172"/>
      <c r="L56" s="171"/>
      <c r="M56" s="172"/>
      <c r="N56" s="130"/>
      <c r="O56" s="130"/>
      <c r="P56" s="127"/>
      <c r="Q56" s="133"/>
    </row>
    <row r="57" spans="9:17">
      <c r="I57" s="16"/>
      <c r="K57" s="129" t="s">
        <v>102</v>
      </c>
      <c r="L57">
        <f>$L$8*P57</f>
        <v>48000</v>
      </c>
      <c r="M57" s="16">
        <f>$M$8*P57</f>
        <v>24000</v>
      </c>
      <c r="N57" s="16">
        <f t="shared" si="0"/>
        <v>28800</v>
      </c>
      <c r="O57" s="16">
        <v>96000</v>
      </c>
      <c r="P57">
        <v>4800</v>
      </c>
      <c r="Q57" s="15">
        <v>7</v>
      </c>
    </row>
    <row r="58" spans="9:17">
      <c r="I58" s="16"/>
      <c r="K58" s="129" t="s">
        <v>8</v>
      </c>
      <c r="L58">
        <f>$L$8*P58</f>
        <v>21120</v>
      </c>
      <c r="M58" s="16">
        <f>$M$8*P58</f>
        <v>10560</v>
      </c>
      <c r="N58" s="16">
        <f t="shared" si="0"/>
        <v>12672</v>
      </c>
      <c r="O58" s="16">
        <v>42240</v>
      </c>
      <c r="P58">
        <v>2112</v>
      </c>
      <c r="Q58" s="15">
        <v>7</v>
      </c>
    </row>
    <row r="59" spans="9:17">
      <c r="I59" s="16"/>
      <c r="K59" s="129" t="s">
        <v>9</v>
      </c>
      <c r="L59">
        <f>$L$8*P59</f>
        <v>10560</v>
      </c>
      <c r="M59" s="16">
        <f>$M$8*P59</f>
        <v>5280</v>
      </c>
      <c r="N59" s="16">
        <f t="shared" si="0"/>
        <v>6336</v>
      </c>
      <c r="O59" s="16">
        <v>21120</v>
      </c>
      <c r="P59">
        <v>1056</v>
      </c>
      <c r="Q59" s="15">
        <v>7</v>
      </c>
    </row>
    <row r="60" spans="9:17">
      <c r="I60" s="130">
        <v>20</v>
      </c>
      <c r="J60" s="171" t="s">
        <v>56</v>
      </c>
      <c r="K60" s="172"/>
      <c r="L60" s="171"/>
      <c r="M60" s="172"/>
      <c r="N60" s="130"/>
      <c r="O60" s="130"/>
      <c r="P60" s="127"/>
      <c r="Q60" s="133"/>
    </row>
    <row r="61" spans="9:17">
      <c r="I61" s="16"/>
      <c r="K61" s="129" t="s">
        <v>102</v>
      </c>
      <c r="L61">
        <f>$L$8*P61</f>
        <v>30000</v>
      </c>
      <c r="M61" s="16">
        <f>$M$8*P61</f>
        <v>15000</v>
      </c>
      <c r="N61" s="16">
        <f t="shared" si="0"/>
        <v>18000</v>
      </c>
      <c r="O61" s="16">
        <v>60000</v>
      </c>
      <c r="P61">
        <v>3000</v>
      </c>
      <c r="Q61" s="15">
        <v>7</v>
      </c>
    </row>
    <row r="62" spans="9:17">
      <c r="I62" s="16"/>
      <c r="K62" s="129" t="s">
        <v>8</v>
      </c>
      <c r="L62">
        <f>$L$8*P62</f>
        <v>13200</v>
      </c>
      <c r="M62" s="16">
        <f>$M$8*P62</f>
        <v>6600</v>
      </c>
      <c r="N62" s="16">
        <f t="shared" si="0"/>
        <v>7920</v>
      </c>
      <c r="O62" s="16">
        <v>26400</v>
      </c>
      <c r="P62">
        <v>1320</v>
      </c>
      <c r="Q62" s="15">
        <v>7</v>
      </c>
    </row>
    <row r="63" spans="9:17">
      <c r="I63" s="16"/>
      <c r="K63" s="129" t="s">
        <v>9</v>
      </c>
      <c r="L63">
        <f>$L$8*P63</f>
        <v>6600</v>
      </c>
      <c r="M63" s="16">
        <f>$M$8*P63</f>
        <v>3300</v>
      </c>
      <c r="N63" s="16">
        <f t="shared" si="0"/>
        <v>3960</v>
      </c>
      <c r="O63" s="16">
        <v>13200</v>
      </c>
      <c r="P63">
        <v>660</v>
      </c>
      <c r="Q63" s="15">
        <v>7</v>
      </c>
    </row>
    <row r="64" spans="9:17">
      <c r="I64" s="130">
        <v>21</v>
      </c>
      <c r="J64" s="171" t="s">
        <v>65</v>
      </c>
      <c r="K64" s="172"/>
      <c r="L64" s="171"/>
      <c r="M64" s="172"/>
      <c r="N64" s="130"/>
      <c r="O64" s="130"/>
      <c r="P64" s="127"/>
      <c r="Q64" s="133"/>
    </row>
    <row r="65" spans="9:17">
      <c r="I65" s="16"/>
      <c r="K65" s="129" t="s">
        <v>102</v>
      </c>
      <c r="L65">
        <f>$L$8*P65</f>
        <v>45000</v>
      </c>
      <c r="M65" s="16">
        <f>$M$8*P65</f>
        <v>22500</v>
      </c>
      <c r="N65" s="16">
        <f t="shared" si="0"/>
        <v>27000</v>
      </c>
      <c r="O65" s="16">
        <v>90000</v>
      </c>
      <c r="P65">
        <v>4500</v>
      </c>
      <c r="Q65" s="15">
        <v>7</v>
      </c>
    </row>
    <row r="66" spans="9:17">
      <c r="I66" s="16"/>
      <c r="K66" s="129" t="s">
        <v>8</v>
      </c>
      <c r="L66">
        <f>$L$8*P66</f>
        <v>19800</v>
      </c>
      <c r="M66" s="16">
        <f>$M$8*P66</f>
        <v>9900</v>
      </c>
      <c r="N66" s="16">
        <f t="shared" si="0"/>
        <v>11880</v>
      </c>
      <c r="O66" s="16">
        <v>39600</v>
      </c>
      <c r="P66">
        <v>1980</v>
      </c>
      <c r="Q66" s="15">
        <v>7</v>
      </c>
    </row>
    <row r="67" spans="9:17">
      <c r="I67" s="16"/>
      <c r="K67" s="129" t="s">
        <v>9</v>
      </c>
      <c r="L67">
        <f>$L$8*P67</f>
        <v>9900</v>
      </c>
      <c r="M67" s="16">
        <f>$M$8*P67</f>
        <v>4950</v>
      </c>
      <c r="N67" s="16">
        <f t="shared" si="0"/>
        <v>5940</v>
      </c>
      <c r="O67" s="16">
        <v>19800</v>
      </c>
      <c r="P67">
        <v>990</v>
      </c>
      <c r="Q67" s="15">
        <v>7</v>
      </c>
    </row>
    <row r="68" spans="9:17">
      <c r="I68" s="130">
        <v>22</v>
      </c>
      <c r="J68" s="171" t="s">
        <v>58</v>
      </c>
      <c r="K68" s="172"/>
      <c r="L68" s="171"/>
      <c r="M68" s="172"/>
      <c r="N68" s="130"/>
      <c r="O68" s="130"/>
      <c r="P68" s="127"/>
      <c r="Q68" s="133"/>
    </row>
    <row r="69" spans="9:17">
      <c r="I69" s="16"/>
      <c r="K69" s="129" t="s">
        <v>102</v>
      </c>
      <c r="L69">
        <f>$L$8*P69</f>
        <v>27600</v>
      </c>
      <c r="M69" s="16">
        <f>$M$8*P69</f>
        <v>13800</v>
      </c>
      <c r="N69" s="16">
        <f t="shared" si="0"/>
        <v>16560</v>
      </c>
      <c r="O69" s="16">
        <v>55200</v>
      </c>
      <c r="P69">
        <v>2760</v>
      </c>
      <c r="Q69" s="15">
        <v>7</v>
      </c>
    </row>
    <row r="70" spans="9:17">
      <c r="I70" s="16"/>
      <c r="K70" s="129" t="s">
        <v>8</v>
      </c>
      <c r="L70">
        <f>$L$8*P70</f>
        <v>13800</v>
      </c>
      <c r="M70" s="16">
        <f>$M$8*P70</f>
        <v>6900</v>
      </c>
      <c r="N70" s="16">
        <f t="shared" si="0"/>
        <v>8280</v>
      </c>
      <c r="O70" s="16">
        <v>27600</v>
      </c>
      <c r="P70">
        <v>1380</v>
      </c>
      <c r="Q70" s="15">
        <v>7</v>
      </c>
    </row>
    <row r="71" spans="9:17">
      <c r="I71" s="16"/>
      <c r="K71" s="129" t="s">
        <v>9</v>
      </c>
      <c r="L71">
        <f>$L$8*P71</f>
        <v>5520</v>
      </c>
      <c r="M71" s="16">
        <f>$M$8*P71</f>
        <v>2760</v>
      </c>
      <c r="N71" s="16">
        <f t="shared" si="0"/>
        <v>3312</v>
      </c>
      <c r="O71" s="16">
        <v>11040</v>
      </c>
      <c r="P71">
        <v>552</v>
      </c>
      <c r="Q71" s="15">
        <v>7</v>
      </c>
    </row>
    <row r="72" spans="9:17">
      <c r="I72" s="130">
        <v>23</v>
      </c>
      <c r="J72" s="171" t="s">
        <v>59</v>
      </c>
      <c r="K72" s="172"/>
      <c r="L72" s="171"/>
      <c r="M72" s="172"/>
      <c r="N72" s="130"/>
      <c r="O72" s="130"/>
      <c r="P72" s="127"/>
      <c r="Q72" s="133"/>
    </row>
    <row r="73" spans="9:17">
      <c r="I73" s="16"/>
      <c r="K73" s="129" t="s">
        <v>102</v>
      </c>
      <c r="L73">
        <f>$L$8*P73</f>
        <v>3570</v>
      </c>
      <c r="M73" s="16">
        <f>$M$8*P73</f>
        <v>1785</v>
      </c>
      <c r="N73" s="16">
        <f t="shared" si="0"/>
        <v>2142</v>
      </c>
      <c r="O73" s="16">
        <v>6166</v>
      </c>
      <c r="P73">
        <v>357</v>
      </c>
      <c r="Q73" s="15">
        <v>7</v>
      </c>
    </row>
    <row r="74" spans="9:17">
      <c r="I74" s="16"/>
      <c r="K74" s="129" t="s">
        <v>8</v>
      </c>
      <c r="L74">
        <f>$L$8*P74</f>
        <v>2330</v>
      </c>
      <c r="M74" s="16">
        <f t="shared" ref="M74:M83" si="1">$M$8*P74</f>
        <v>1165</v>
      </c>
      <c r="N74" s="16">
        <f t="shared" ref="N74:N83" si="2">$N$8*P74</f>
        <v>1398</v>
      </c>
      <c r="O74" s="16">
        <v>12122</v>
      </c>
      <c r="P74">
        <v>233</v>
      </c>
      <c r="Q74" s="15">
        <v>7</v>
      </c>
    </row>
    <row r="75" spans="9:17">
      <c r="I75" s="16"/>
      <c r="K75" s="129" t="s">
        <v>9</v>
      </c>
      <c r="L75">
        <f>$L$8*P75</f>
        <v>240</v>
      </c>
      <c r="M75" s="16">
        <f t="shared" si="1"/>
        <v>120</v>
      </c>
      <c r="N75" s="16">
        <f t="shared" si="2"/>
        <v>144</v>
      </c>
      <c r="O75" s="16">
        <v>8452</v>
      </c>
      <c r="P75">
        <v>24</v>
      </c>
      <c r="Q75" s="15">
        <v>7</v>
      </c>
    </row>
    <row r="76" spans="9:17" ht="15.75" thickBot="1">
      <c r="I76" s="130">
        <v>24</v>
      </c>
      <c r="J76" s="171" t="s">
        <v>60</v>
      </c>
      <c r="K76" s="172"/>
      <c r="L76" s="171"/>
      <c r="M76" s="172"/>
      <c r="N76" s="130"/>
      <c r="O76" s="130"/>
      <c r="P76" s="127"/>
      <c r="Q76" s="133"/>
    </row>
    <row r="77" spans="9:17">
      <c r="I77" s="16"/>
      <c r="K77" s="129" t="s">
        <v>102</v>
      </c>
      <c r="L77">
        <f>$L$8*P77</f>
        <v>5270</v>
      </c>
      <c r="M77" s="16">
        <f t="shared" si="1"/>
        <v>2635</v>
      </c>
      <c r="N77" s="16">
        <f t="shared" si="2"/>
        <v>3162</v>
      </c>
      <c r="O77" s="16">
        <v>10540</v>
      </c>
      <c r="P77">
        <v>527</v>
      </c>
      <c r="Q77" s="17"/>
    </row>
    <row r="78" spans="9:17">
      <c r="I78" s="16"/>
      <c r="K78" s="129" t="s">
        <v>8</v>
      </c>
      <c r="L78">
        <f>$L$8*P78</f>
        <v>2380</v>
      </c>
      <c r="M78" s="16">
        <f t="shared" si="1"/>
        <v>1190</v>
      </c>
      <c r="N78" s="16">
        <f t="shared" si="2"/>
        <v>1428</v>
      </c>
      <c r="O78" s="16">
        <v>4760</v>
      </c>
      <c r="P78">
        <v>238</v>
      </c>
      <c r="Q78" s="15">
        <v>7</v>
      </c>
    </row>
    <row r="79" spans="9:17">
      <c r="I79" s="16"/>
      <c r="K79" s="129" t="s">
        <v>9</v>
      </c>
      <c r="L79">
        <f>$L$8*P79</f>
        <v>850</v>
      </c>
      <c r="M79" s="16">
        <f t="shared" si="1"/>
        <v>425</v>
      </c>
      <c r="N79" s="16">
        <f t="shared" si="2"/>
        <v>510</v>
      </c>
      <c r="O79" s="16">
        <v>1700</v>
      </c>
      <c r="P79">
        <v>85</v>
      </c>
      <c r="Q79" s="15">
        <v>7</v>
      </c>
    </row>
    <row r="80" spans="9:17" ht="15.75" thickBot="1">
      <c r="I80" s="130">
        <v>25</v>
      </c>
      <c r="J80" s="174" t="s">
        <v>61</v>
      </c>
      <c r="K80" s="172"/>
      <c r="L80" s="171"/>
      <c r="M80" s="172"/>
      <c r="N80" s="130"/>
      <c r="O80" s="130"/>
      <c r="P80" s="127"/>
      <c r="Q80" s="130"/>
    </row>
    <row r="81" spans="9:17">
      <c r="I81" s="17"/>
      <c r="J81" s="2"/>
      <c r="K81" s="128" t="s">
        <v>102</v>
      </c>
      <c r="L81" s="1">
        <f>$L$8*P81</f>
        <v>13200</v>
      </c>
      <c r="M81" s="17">
        <f t="shared" si="1"/>
        <v>6600</v>
      </c>
      <c r="N81" s="17">
        <f t="shared" si="2"/>
        <v>7920</v>
      </c>
      <c r="O81" s="17">
        <v>26400</v>
      </c>
      <c r="P81" s="1">
        <v>1320</v>
      </c>
      <c r="Q81" s="10">
        <v>7</v>
      </c>
    </row>
    <row r="82" spans="9:17">
      <c r="I82" s="16"/>
      <c r="K82" s="129" t="s">
        <v>8</v>
      </c>
      <c r="L82" s="3">
        <f>$L$8*P82</f>
        <v>5940</v>
      </c>
      <c r="M82" s="16">
        <f t="shared" si="1"/>
        <v>2970</v>
      </c>
      <c r="N82" s="16">
        <f t="shared" si="2"/>
        <v>3564</v>
      </c>
      <c r="O82" s="16">
        <v>11880</v>
      </c>
      <c r="P82" s="3">
        <v>594</v>
      </c>
      <c r="Q82" s="15">
        <v>7</v>
      </c>
    </row>
    <row r="83" spans="9:17" ht="15.75" thickBot="1">
      <c r="I83" s="18"/>
      <c r="J83" s="5"/>
      <c r="K83" s="131" t="s">
        <v>9</v>
      </c>
      <c r="L83" s="4">
        <f>$L$8*P83</f>
        <v>15000</v>
      </c>
      <c r="M83" s="18">
        <f t="shared" si="1"/>
        <v>7500</v>
      </c>
      <c r="N83" s="18">
        <f t="shared" si="2"/>
        <v>9000</v>
      </c>
      <c r="O83" s="18">
        <v>5720</v>
      </c>
      <c r="P83" s="4">
        <v>1500</v>
      </c>
      <c r="Q83" s="14">
        <v>7</v>
      </c>
    </row>
    <row r="84" spans="9:17">
      <c r="K84" s="113"/>
    </row>
    <row r="85" spans="9:17">
      <c r="K85" s="113"/>
    </row>
    <row r="86" spans="9:17">
      <c r="K86" s="113"/>
    </row>
  </sheetData>
  <mergeCells count="50">
    <mergeCell ref="B16:C16"/>
    <mergeCell ref="B20:C20"/>
    <mergeCell ref="B28:C28"/>
    <mergeCell ref="B24:C24"/>
    <mergeCell ref="I5:Q5"/>
    <mergeCell ref="A5:H5"/>
    <mergeCell ref="J8:K8"/>
    <mergeCell ref="J12:K12"/>
    <mergeCell ref="L6:L7"/>
    <mergeCell ref="L12:M12"/>
    <mergeCell ref="B8:C8"/>
    <mergeCell ref="B12:C12"/>
    <mergeCell ref="O6:O7"/>
    <mergeCell ref="J6:K7"/>
    <mergeCell ref="F6:F7"/>
    <mergeCell ref="L48:M48"/>
    <mergeCell ref="L52:M52"/>
    <mergeCell ref="J16:K16"/>
    <mergeCell ref="J20:K20"/>
    <mergeCell ref="J24:K24"/>
    <mergeCell ref="J28:K28"/>
    <mergeCell ref="J32:K32"/>
    <mergeCell ref="J36:K36"/>
    <mergeCell ref="J40:K40"/>
    <mergeCell ref="J44:K44"/>
    <mergeCell ref="J48:K48"/>
    <mergeCell ref="J52:K52"/>
    <mergeCell ref="J56:K56"/>
    <mergeCell ref="J68:K68"/>
    <mergeCell ref="J60:K60"/>
    <mergeCell ref="J64:K64"/>
    <mergeCell ref="J80:K80"/>
    <mergeCell ref="J76:K76"/>
    <mergeCell ref="J72:K72"/>
    <mergeCell ref="L80:M80"/>
    <mergeCell ref="X7:Z7"/>
    <mergeCell ref="L56:M56"/>
    <mergeCell ref="L60:M60"/>
    <mergeCell ref="L64:M64"/>
    <mergeCell ref="L68:M68"/>
    <mergeCell ref="L72:M72"/>
    <mergeCell ref="L76:M76"/>
    <mergeCell ref="L20:M20"/>
    <mergeCell ref="L16:M16"/>
    <mergeCell ref="L24:M24"/>
    <mergeCell ref="L28:M28"/>
    <mergeCell ref="L32:M32"/>
    <mergeCell ref="L36:M36"/>
    <mergeCell ref="L40:M40"/>
    <mergeCell ref="L44:M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Ships</vt:lpstr>
      <vt:lpstr>Capacity</vt:lpstr>
      <vt:lpstr>Distances</vt:lpstr>
      <vt:lpstr>Port cost</vt:lpstr>
      <vt:lpstr>Operation Cost</vt:lpstr>
      <vt:lpstr>Supply,demand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Marudut Sirait</dc:creator>
  <cp:lastModifiedBy>Ilyasa Pahlevi</cp:lastModifiedBy>
  <dcterms:created xsi:type="dcterms:W3CDTF">2024-02-04T16:04:00Z</dcterms:created>
  <dcterms:modified xsi:type="dcterms:W3CDTF">2024-07-07T15:53:50Z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7A75145768B8415F85B27C44217AD4DD_12</vt:lpwstr>
  </property>
  <property fmtid="{D5CDD505-2E9C-101B-9397-08002B2CF9AE}" pid="3" name="KSOProductBuildVer">
    <vt:lpwstr>1033-12.2.0.16909</vt:lpwstr>
  </property>
</Properties>
</file>